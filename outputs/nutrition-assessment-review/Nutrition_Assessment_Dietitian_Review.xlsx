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554f565fa943f7" /></Relationships>
</file>

<file path=xl/workbook.xml><?xml version="1.0" encoding="utf-8"?>
<x:workbook xmlns:x="http://schemas.openxmlformats.org/spreadsheetml/2006/main">
  <x:sheets>
    <x:sheet xmlns:r="http://schemas.openxmlformats.org/officeDocument/2006/relationships" name="Overview" sheetId="1" r:id="Rccf4b1cffd79461e"/>
    <x:sheet xmlns:r="http://schemas.openxmlformats.org/officeDocument/2006/relationships" name="Questions &amp; Answers" sheetId="2" r:id="Rcefa448b563a45ae"/>
    <x:sheet xmlns:r="http://schemas.openxmlformats.org/officeDocument/2006/relationships" name="Results Logic" sheetId="3" r:id="Rf97eb9eac0094c69"/>
    <x:sheet xmlns:r="http://schemas.openxmlformats.org/officeDocument/2006/relationships" name="Flow Map" sheetId="4" r:id="Rffd09e9407004793"/>
    <x:sheet xmlns:r="http://schemas.openxmlformats.org/officeDocument/2006/relationships" name="Scenario Tester" sheetId="5" r:id="R23d2876cd2cb4e47"/>
    <x:sheet xmlns:r="http://schemas.openxmlformats.org/officeDocument/2006/relationships" name="Proposed Changes" sheetId="6" r:id="Rdb58a09f112d43d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0">
    <x:font>
      <x:sz val="11"/>
      <x:name val="Carlito"/>
    </x:font>
    <x:font>
      <x:b/>
      <x:sz val="18"/>
      <x:color rgb="FFFFFFFF"/>
      <x:name val="Carlito"/>
    </x:font>
    <x:font>
      <x:i/>
      <x:sz val="10"/>
      <x:color rgb="FF24332F"/>
      <x:name val="Carlito"/>
    </x:font>
    <x:font>
      <x:b/>
      <x:sz val="12"/>
      <x:color rgb="FF315B52"/>
      <x:name val="Carlito"/>
    </x:font>
    <x:font>
      <x:sz val="11"/>
      <x:color rgb="FF24332F"/>
      <x:name val="Carlito"/>
    </x:font>
    <x:font>
      <x:sz val="10"/>
      <x:color rgb="FF24332F"/>
      <x:name val="Carlito"/>
    </x:font>
    <x:font>
      <x:b/>
      <x:sz val="10"/>
      <x:color rgb="FF315B52"/>
      <x:name val="Carlito"/>
    </x:font>
    <x:font>
      <x:b/>
      <x:sz val="10"/>
      <x:color rgb="FF7A3028"/>
      <x:name val="Carlito"/>
    </x:font>
    <x:font>
      <x:b/>
      <x:sz val="10"/>
      <x:color rgb="FFFFFFFF"/>
      <x:name val="Carlito"/>
    </x:font>
    <x:font>
      <x:b/>
      <x:sz val="11"/>
      <x:color rgb="FF315B52"/>
      <x:name val="Carlito"/>
    </x:font>
    <x:font>
      <x:b/>
      <x:sz val="18"/>
      <x:color rgb="FFFFFFFF"/>
      <x:name val="Aptos"/>
    </x:font>
    <x:font>
      <x:i/>
      <x:sz val="10"/>
      <x:color rgb="FF24332F"/>
      <x:name val="Aptos"/>
    </x:font>
    <x:font>
      <x:b/>
      <x:sz val="12"/>
      <x:color rgb="FF315B52"/>
      <x:name val="Aptos"/>
    </x:font>
    <x:font>
      <x:sz val="11"/>
      <x:color rgb="FF24332F"/>
      <x:name val="Aptos"/>
    </x:font>
    <x:font>
      <x:sz val="11"/>
      <x:name val="Aptos"/>
    </x:font>
    <x:font>
      <x:b/>
      <x:sz val="10"/>
      <x:color rgb="FF315B52"/>
      <x:name val="Aptos"/>
    </x:font>
    <x:font>
      <x:sz val="10"/>
      <x:color rgb="FF24332F"/>
      <x:name val="Aptos"/>
    </x:font>
    <x:font>
      <x:b/>
      <x:sz val="10"/>
      <x:color rgb="FF7A3028"/>
      <x:name val="Aptos"/>
    </x:font>
    <x:font>
      <x:b/>
      <x:sz val="10"/>
      <x:color rgb="FFFFFFFF"/>
      <x:name val="Aptos"/>
    </x:font>
    <x:font>
      <x:b/>
      <x:sz val="11"/>
      <x:color rgb="FF315B52"/>
      <x:name val="Aptos"/>
    </x:font>
  </x:fonts>
  <x:fills count="11">
    <x:fill>
      <x:patternFill patternType="none"/>
    </x:fill>
    <x:fill>
      <x:patternFill patternType="gray125"/>
    </x:fill>
    <x:fill>
      <x:patternFill patternType="solid">
        <x:fgColor rgb="FF315B52"/>
      </x:patternFill>
    </x:fill>
    <x:fill>
      <x:patternFill patternType="solid">
        <x:fgColor rgb="FFE8F3EF"/>
      </x:patternFill>
    </x:fill>
    <x:fill>
      <x:patternFill patternType="solid">
        <x:fgColor rgb="FFA3C9B9"/>
      </x:patternFill>
    </x:fill>
    <x:fill>
      <x:patternFill patternType="solid">
        <x:fgColor rgb="FFFFFFFF"/>
      </x:patternFill>
    </x:fill>
    <x:fill>
      <x:patternFill patternType="solid">
        <x:fgColor rgb="FFFCE8E6"/>
      </x:patternFill>
    </x:fill>
    <x:fill>
      <x:patternFill patternType="solid">
        <x:fgColor rgb="FF7FAE9E"/>
      </x:patternFill>
    </x:fill>
    <x:fill>
      <x:patternFill patternType="solid">
        <x:fgColor rgb="FFF5F7F6"/>
      </x:patternFill>
    </x:fill>
    <x:fill>
      <x:patternFill patternType="solid">
        <x:fgColor rgb="FFFFF2CC"/>
      </x:patternFill>
    </x:fill>
    <x:fill>
      <x:patternFill patternType="solid">
        <x:fgColor rgb="FFE2F0D9"/>
      </x:patternFill>
    </x:fill>
  </x:fills>
  <x:borders count="18">
    <x:border/>
    <x:border>
      <x:left style="thin">
        <x:color rgb="FFCDD9D5"/>
      </x:left>
      <x:top style="thin">
        <x:color rgb="FFCDD9D5"/>
      </x:top>
    </x:border>
    <x:border>
      <x:top style="thin">
        <x:color rgb="FFCDD9D5"/>
      </x:top>
    </x:border>
    <x:border>
      <x:right style="thin">
        <x:color rgb="FFCDD9D5"/>
      </x:right>
      <x:top style="thin">
        <x:color rgb="FFCDD9D5"/>
      </x:top>
    </x:border>
    <x:border>
      <x:left style="thin">
        <x:color rgb="FFCDD9D5"/>
      </x:left>
    </x:border>
    <x:border>
      <x:right style="thin">
        <x:color rgb="FFCDD9D5"/>
      </x:right>
    </x:border>
    <x:border>
      <x:left style="thin">
        <x:color rgb="FFCDD9D5"/>
      </x:left>
      <x:bottom style="thin">
        <x:color rgb="FFCDD9D5"/>
      </x:bottom>
    </x:border>
    <x:border>
      <x:bottom style="thin">
        <x:color rgb="FFCDD9D5"/>
      </x:bottom>
    </x:border>
    <x:border>
      <x:right style="thin">
        <x:color rgb="FFCDD9D5"/>
      </x:right>
      <x:bottom style="thin">
        <x:color rgb="FFCDD9D5"/>
      </x:bottom>
    </x:border>
    <x:border>
      <x:left style="thin">
        <x:color rgb="FFCDD9D5"/>
      </x:left>
      <x:right style="thin">
        <x:color rgb="FFCDD9D5"/>
      </x:right>
      <x:top style="thin">
        <x:color rgb="FFCDD9D5"/>
      </x:top>
      <x:bottom style="thin">
        <x:color rgb="FFCDD9D5"/>
      </x:bottom>
    </x:border>
    <x:border>
      <x:left style="thin">
        <x:color rgb="FFD9A9A2"/>
      </x:left>
      <x:top style="thin">
        <x:color rgb="FFD9A9A2"/>
      </x:top>
    </x:border>
    <x:border>
      <x:top style="thin">
        <x:color rgb="FFD9A9A2"/>
      </x:top>
    </x:border>
    <x:border>
      <x:right style="thin">
        <x:color rgb="FFD9A9A2"/>
      </x:right>
      <x:top style="thin">
        <x:color rgb="FFD9A9A2"/>
      </x:top>
    </x:border>
    <x:border>
      <x:left style="thin">
        <x:color rgb="FFD9A9A2"/>
      </x:left>
    </x:border>
    <x:border>
      <x:right style="thin">
        <x:color rgb="FFD9A9A2"/>
      </x:right>
    </x:border>
    <x:border>
      <x:left style="thin">
        <x:color rgb="FFD9A9A2"/>
      </x:left>
      <x:bottom style="thin">
        <x:color rgb="FFD9A9A2"/>
      </x:bottom>
    </x:border>
    <x:border>
      <x:bottom style="thin">
        <x:color rgb="FFD9A9A2"/>
      </x:bottom>
    </x:border>
    <x:border>
      <x:right style="thin">
        <x:color rgb="FFD9A9A2"/>
      </x:right>
      <x:bottom style="thin">
        <x:color rgb="FFD9A9A2"/>
      </x:bottom>
    </x:border>
  </x:borders>
  <x:cellStyleXfs count="1">
    <x:xf numFmtId="0" fontId="0" fillId="0" borderId="0"/>
  </x:cellStyleXfs>
  <x:cellXfs count="17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5" fillId="0" borderId="0" xfId="0" applyNumberFormat="1" applyFont="1" applyFill="1" applyBorder="1"/>
    <x:xf numFmtId="0" fontId="5" fillId="0" borderId="9" xfId="0" applyNumberFormat="1" applyFont="1" applyFill="1" applyBorder="1"/>
    <x:xf numFmtId="0" fontId="5" fillId="0" borderId="9" xfId="0" applyNumberFormat="1" applyFont="1" applyFill="1" applyBorder="1" applyAlignment="1">
      <x:alignment wrapText="1"/>
    </x:xf>
    <x:xf numFmtId="0" fontId="5" fillId="0" borderId="9"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5" fillId="0" borderId="9" xfId="0" applyNumberFormat="1" applyFont="1" applyFill="1" applyBorder="1" applyAlignment="1">
      <x:alignment horizontal="center" vertical="top" wrapText="1"/>
    </x:xf>
    <x:xf numFmtId="0" fontId="0" fillId="6" borderId="0" xfId="0" applyNumberFormat="1" applyFont="1" applyFill="1" applyBorder="1"/>
    <x:xf numFmtId="0" fontId="7" fillId="6" borderId="0" xfId="0" applyNumberFormat="1" applyFont="1" applyFill="1" applyBorder="1"/>
    <x:xf numFmtId="0" fontId="7" fillId="6" borderId="10" xfId="0" applyNumberFormat="1" applyFont="1" applyFill="1" applyBorder="1"/>
    <x:xf numFmtId="0" fontId="7" fillId="6" borderId="11" xfId="0" applyNumberFormat="1" applyFont="1" applyFill="1" applyBorder="1"/>
    <x:xf numFmtId="0" fontId="7" fillId="6" borderId="12" xfId="0" applyNumberFormat="1" applyFont="1" applyFill="1" applyBorder="1"/>
    <x:xf numFmtId="0" fontId="7" fillId="6" borderId="13" xfId="0" applyNumberFormat="1" applyFont="1" applyFill="1" applyBorder="1"/>
    <x:xf numFmtId="0" fontId="7" fillId="6" borderId="14" xfId="0" applyNumberFormat="1" applyFont="1" applyFill="1" applyBorder="1"/>
    <x:xf numFmtId="0" fontId="7" fillId="6" borderId="15" xfId="0" applyNumberFormat="1" applyFont="1" applyFill="1" applyBorder="1"/>
    <x:xf numFmtId="0" fontId="7" fillId="6" borderId="16" xfId="0" applyNumberFormat="1" applyFont="1" applyFill="1" applyBorder="1"/>
    <x:xf numFmtId="0" fontId="7" fillId="6" borderId="17" xfId="0" applyNumberFormat="1" applyFont="1" applyFill="1" applyBorder="1"/>
    <x:xf numFmtId="0" fontId="7" fillId="6" borderId="10" xfId="0" applyNumberFormat="1" applyFont="1" applyFill="1" applyBorder="1" applyAlignment="1">
      <x:alignment wrapText="1"/>
    </x:xf>
    <x:xf numFmtId="0" fontId="7" fillId="6" borderId="11" xfId="0" applyNumberFormat="1" applyFont="1" applyFill="1" applyBorder="1" applyAlignment="1">
      <x:alignment wrapText="1"/>
    </x:xf>
    <x:xf numFmtId="0" fontId="7" fillId="6" borderId="12" xfId="0" applyNumberFormat="1" applyFont="1" applyFill="1" applyBorder="1" applyAlignment="1">
      <x:alignment wrapText="1"/>
    </x:xf>
    <x:xf numFmtId="0" fontId="7" fillId="6" borderId="13"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14" xfId="0" applyNumberFormat="1" applyFont="1" applyFill="1" applyBorder="1" applyAlignment="1">
      <x:alignment wrapText="1"/>
    </x:xf>
    <x:xf numFmtId="0" fontId="7" fillId="6" borderId="15" xfId="0" applyNumberFormat="1" applyFont="1" applyFill="1" applyBorder="1" applyAlignment="1">
      <x:alignment wrapText="1"/>
    </x:xf>
    <x:xf numFmtId="0" fontId="7" fillId="6" borderId="16" xfId="0" applyNumberFormat="1" applyFont="1" applyFill="1" applyBorder="1" applyAlignment="1">
      <x:alignment wrapText="1"/>
    </x:xf>
    <x:xf numFmtId="0" fontId="7" fillId="6" borderId="17" xfId="0" applyNumberFormat="1" applyFont="1" applyFill="1" applyBorder="1" applyAlignment="1">
      <x:alignment wrapText="1"/>
    </x:xf>
    <x:xf numFmtId="0" fontId="7" fillId="6" borderId="10" xfId="0" applyNumberFormat="1" applyFont="1" applyFill="1" applyBorder="1" applyAlignment="1">
      <x:alignment vertical="center" wrapText="1"/>
    </x:xf>
    <x:xf numFmtId="0" fontId="7" fillId="6" borderId="11" xfId="0" applyNumberFormat="1" applyFont="1" applyFill="1" applyBorder="1" applyAlignment="1">
      <x:alignment vertical="center" wrapText="1"/>
    </x:xf>
    <x:xf numFmtId="0" fontId="7" fillId="6" borderId="12" xfId="0" applyNumberFormat="1" applyFont="1" applyFill="1" applyBorder="1" applyAlignment="1">
      <x:alignment vertical="center" wrapText="1"/>
    </x:xf>
    <x:xf numFmtId="0" fontId="7" fillId="6" borderId="13"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7" fillId="6" borderId="14" xfId="0" applyNumberFormat="1" applyFont="1" applyFill="1" applyBorder="1" applyAlignment="1">
      <x:alignment vertical="center" wrapText="1"/>
    </x:xf>
    <x:xf numFmtId="0" fontId="7" fillId="6" borderId="15" xfId="0" applyNumberFormat="1" applyFont="1" applyFill="1" applyBorder="1" applyAlignment="1">
      <x:alignment vertical="center" wrapText="1"/>
    </x:xf>
    <x:xf numFmtId="0" fontId="7" fillId="6" borderId="16" xfId="0" applyNumberFormat="1" applyFont="1" applyFill="1" applyBorder="1" applyAlignment="1">
      <x:alignment vertical="center" wrapText="1"/>
    </x:xf>
    <x:xf numFmtId="0" fontId="7" fillId="6" borderId="17" xfId="0" applyNumberFormat="1" applyFont="1" applyFill="1" applyBorder="1" applyAlignment="1">
      <x:alignment vertical="center" wrapText="1"/>
    </x:xf>
    <x:xf numFmtId="0" fontId="5" fillId="7" borderId="9"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8" fillId="7" borderId="9" xfId="0" applyNumberFormat="1" applyFont="1" applyFill="1" applyBorder="1" applyAlignment="1">
      <x:alignment horizontal="center" vertical="top" wrapText="1"/>
    </x:xf>
    <x:xf numFmtId="0" fontId="8" fillId="7" borderId="9" xfId="0" applyNumberFormat="1" applyFont="1" applyFill="1" applyBorder="1" applyAlignment="1">
      <x:alignment horizontal="center" vertical="center" wrapText="1"/>
    </x:xf>
    <x:xf numFmtId="0" fontId="0" fillId="8" borderId="0" xfId="0" applyNumberFormat="1" applyFont="1" applyFill="1" applyBorder="1"/>
    <x:xf numFmtId="0" fontId="0" fillId="9" borderId="0" xfId="0" applyNumberFormat="1" applyFont="1" applyFill="1" applyBorder="1"/>
    <x:xf numFmtId="0" fontId="0" fillId="10" borderId="0" xfId="0" applyNumberFormat="1" applyFont="1" applyFill="1" applyBorder="1"/>
    <x:xf numFmtId="0" fontId="5" fillId="8" borderId="0" xfId="0" applyNumberFormat="1" applyFont="1" applyFill="1" applyBorder="1"/>
    <x:xf numFmtId="0" fontId="5" fillId="9" borderId="0" xfId="0" applyNumberFormat="1" applyFont="1" applyFill="1" applyBorder="1"/>
    <x:xf numFmtId="0" fontId="5" fillId="6" borderId="0" xfId="0" applyNumberFormat="1" applyFont="1" applyFill="1" applyBorder="1"/>
    <x:xf numFmtId="0" fontId="5" fillId="10" borderId="0" xfId="0" applyNumberFormat="1" applyFont="1" applyFill="1" applyBorder="1"/>
    <x:xf numFmtId="0" fontId="5" fillId="8" borderId="9" xfId="0" applyNumberFormat="1" applyFont="1" applyFill="1" applyBorder="1"/>
    <x:xf numFmtId="0" fontId="5" fillId="9" borderId="9" xfId="0" applyNumberFormat="1" applyFont="1" applyFill="1" applyBorder="1"/>
    <x:xf numFmtId="0" fontId="5" fillId="6" borderId="9" xfId="0" applyNumberFormat="1" applyFont="1" applyFill="1" applyBorder="1"/>
    <x:xf numFmtId="0" fontId="5" fillId="10" borderId="9" xfId="0" applyNumberFormat="1" applyFont="1" applyFill="1" applyBorder="1"/>
    <x:xf numFmtId="0" fontId="5" fillId="8" borderId="9" xfId="0" applyNumberFormat="1" applyFont="1" applyFill="1" applyBorder="1" applyAlignment="1">
      <x:alignment wrapText="1"/>
    </x:xf>
    <x:xf numFmtId="0" fontId="5" fillId="9" borderId="9" xfId="0" applyNumberFormat="1" applyFont="1" applyFill="1" applyBorder="1" applyAlignment="1">
      <x:alignment wrapText="1"/>
    </x:xf>
    <x:xf numFmtId="0" fontId="5" fillId="6" borderId="9" xfId="0" applyNumberFormat="1" applyFont="1" applyFill="1" applyBorder="1" applyAlignment="1">
      <x:alignment wrapText="1"/>
    </x:xf>
    <x:xf numFmtId="0" fontId="5" fillId="10" borderId="9" xfId="0" applyNumberFormat="1" applyFont="1" applyFill="1" applyBorder="1" applyAlignment="1">
      <x:alignment wrapText="1"/>
    </x:xf>
    <x:xf numFmtId="0" fontId="5" fillId="8" borderId="9" xfId="0" applyNumberFormat="1" applyFont="1" applyFill="1" applyBorder="1" applyAlignment="1">
      <x:alignment vertical="top" wrapText="1"/>
    </x:xf>
    <x:xf numFmtId="0" fontId="5" fillId="9" borderId="9" xfId="0" applyNumberFormat="1" applyFont="1" applyFill="1" applyBorder="1" applyAlignment="1">
      <x:alignment vertical="top" wrapText="1"/>
    </x:xf>
    <x:xf numFmtId="0" fontId="5" fillId="6" borderId="9" xfId="0" applyNumberFormat="1" applyFont="1" applyFill="1" applyBorder="1" applyAlignment="1">
      <x:alignment vertical="top" wrapText="1"/>
    </x:xf>
    <x:xf numFmtId="0" fontId="5" fillId="10" borderId="9" xfId="0" applyNumberFormat="1" applyFont="1" applyFill="1" applyBorder="1" applyAlignment="1">
      <x:alignment vertical="top" wrapText="1"/>
    </x:xf>
    <x:xf numFmtId="0" fontId="6" fillId="8" borderId="9" xfId="0" applyNumberFormat="1" applyFont="1" applyFill="1" applyBorder="1" applyAlignment="1">
      <x:alignment vertical="top" wrapText="1"/>
    </x:xf>
    <x:xf numFmtId="0" fontId="6" fillId="9" borderId="9" xfId="0" applyNumberFormat="1" applyFont="1" applyFill="1" applyBorder="1" applyAlignment="1">
      <x:alignment vertical="top" wrapText="1"/>
    </x:xf>
    <x:xf numFmtId="0" fontId="6" fillId="6" borderId="9" xfId="0" applyNumberFormat="1" applyFont="1" applyFill="1" applyBorder="1" applyAlignment="1">
      <x:alignment vertical="top" wrapText="1"/>
    </x:xf>
    <x:xf numFmtId="0" fontId="6" fillId="10" borderId="9"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9" xfId="0" applyNumberFormat="1" applyFont="1" applyFill="1" applyBorder="1"/>
    <x:xf numFmtId="0" fontId="8" fillId="7" borderId="9" xfId="0" applyNumberFormat="1" applyFont="1" applyFill="1" applyBorder="1" applyAlignment="1">
      <x:alignment wrapText="1"/>
    </x:xf>
    <x:xf numFmtId="0" fontId="8" fillId="7" borderId="9" xfId="0" applyNumberFormat="1" applyFont="1" applyFill="1" applyBorder="1" applyAlignment="1">
      <x:alignment horizontal="center" wrapText="1"/>
    </x:xf>
    <x:xf numFmtId="200" fontId="5" fillId="0" borderId="9" xfId="0" applyNumberFormat="1" applyFont="1" applyFill="1" applyBorder="1" applyAlignment="1">
      <x:alignment vertical="top" wrapText="1"/>
    </x:xf>
    <x:xf numFmtId="200" fontId="5" fillId="0" borderId="9" xfId="0" applyNumberFormat="1" applyFont="1" applyFill="1" applyBorder="1" applyAlignment="1">
      <x:alignment horizontal="center" vertical="top" wrapText="1"/>
    </x:xf>
    <x:xf numFmtId="0" fontId="9" fillId="4" borderId="0" xfId="0" applyNumberFormat="1" applyFont="1" applyFill="1" applyBorder="1"/>
    <x:xf numFmtId="0" fontId="9" fillId="4" borderId="9"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8"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8"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2" fillId="3" borderId="7" xfId="0" applyNumberFormat="1" applyFont="1" applyFill="1" applyBorder="1" applyAlignment="1">
      <x:alignment vertical="center" wrapText="1"/>
    </x:xf>
    <x:xf numFmtId="0" fontId="2" fillId="3" borderId="8" xfId="0" applyNumberFormat="1" applyFont="1" applyFill="1" applyBorder="1" applyAlignment="1">
      <x:alignment vertical="center" wrapText="1"/>
    </x:xf>
    <x:xf numFmtId="0" fontId="10" fillId="2" borderId="0" xfId="0" applyNumberFormat="1" applyFont="1" applyFill="1" applyBorder="1" applyAlignment="1">
      <x:alignment horizontal="left" vertical="center"/>
    </x:xf>
    <x:xf numFmtId="0" fontId="11" fillId="3" borderId="0" xfId="0" applyNumberFormat="1" applyFont="1" applyFill="1" applyBorder="1" applyAlignment="1">
      <x:alignment vertical="center" wrapText="1"/>
    </x:xf>
    <x:xf numFmtId="0" fontId="12" fillId="4" borderId="0" xfId="0" applyNumberFormat="1" applyFont="1" applyFill="1" applyBorder="1" applyAlignment="1">
      <x:alignment vertical="center"/>
    </x:xf>
    <x:xf numFmtId="0" fontId="13" fillId="5" borderId="1" xfId="0" applyNumberFormat="1" applyFont="1" applyFill="1" applyBorder="1" applyAlignment="1">
      <x:alignment vertical="center" wrapText="1"/>
    </x:xf>
    <x:xf numFmtId="0" fontId="13" fillId="5" borderId="2" xfId="0" applyNumberFormat="1" applyFont="1" applyFill="1" applyBorder="1" applyAlignment="1">
      <x:alignment vertical="center" wrapText="1"/>
    </x:xf>
    <x:xf numFmtId="0" fontId="13" fillId="5" borderId="3" xfId="0" applyNumberFormat="1" applyFont="1" applyFill="1" applyBorder="1" applyAlignment="1">
      <x:alignment vertical="center" wrapText="1"/>
    </x:xf>
    <x:xf numFmtId="0" fontId="13" fillId="5" borderId="4" xfId="0" applyNumberFormat="1" applyFont="1" applyFill="1" applyBorder="1" applyAlignment="1">
      <x:alignment vertical="center" wrapText="1"/>
    </x:xf>
    <x:xf numFmtId="0" fontId="13" fillId="5" borderId="0" xfId="0" applyNumberFormat="1" applyFont="1" applyFill="1" applyBorder="1" applyAlignment="1">
      <x:alignment vertical="center" wrapText="1"/>
    </x:xf>
    <x:xf numFmtId="0" fontId="13" fillId="5" borderId="5" xfId="0" applyNumberFormat="1" applyFont="1" applyFill="1" applyBorder="1" applyAlignment="1">
      <x:alignment vertical="center" wrapText="1"/>
    </x:xf>
    <x:xf numFmtId="0" fontId="13" fillId="5" borderId="6" xfId="0" applyNumberFormat="1" applyFont="1" applyFill="1" applyBorder="1" applyAlignment="1">
      <x:alignment vertical="center" wrapText="1"/>
    </x:xf>
    <x:xf numFmtId="0" fontId="13" fillId="5" borderId="7" xfId="0" applyNumberFormat="1" applyFont="1" applyFill="1" applyBorder="1" applyAlignment="1">
      <x:alignment vertical="center" wrapText="1"/>
    </x:xf>
    <x:xf numFmtId="0" fontId="13" fillId="5" borderId="8" xfId="0" applyNumberFormat="1" applyFont="1" applyFill="1" applyBorder="1" applyAlignment="1">
      <x:alignment vertical="center" wrapText="1"/>
    </x:xf>
    <x:xf numFmtId="0" fontId="14" fillId="0" borderId="0" xfId="0" applyNumberFormat="1" applyFont="1" applyFill="1" applyBorder="1"/>
    <x:xf numFmtId="0" fontId="15" fillId="0" borderId="9" xfId="0" applyNumberFormat="1" applyFont="1" applyFill="1" applyBorder="1" applyAlignment="1">
      <x:alignment vertical="top" wrapText="1"/>
    </x:xf>
    <x:xf numFmtId="0" fontId="16" fillId="0" borderId="9" xfId="0" applyNumberFormat="1" applyFont="1" applyFill="1" applyBorder="1" applyAlignment="1">
      <x:alignment horizontal="center" vertical="top" wrapText="1"/>
    </x:xf>
    <x:xf numFmtId="0" fontId="17" fillId="6" borderId="10" xfId="0" applyNumberFormat="1" applyFont="1" applyFill="1" applyBorder="1" applyAlignment="1">
      <x:alignment vertical="center" wrapText="1"/>
    </x:xf>
    <x:xf numFmtId="0" fontId="17" fillId="6" borderId="11" xfId="0" applyNumberFormat="1" applyFont="1" applyFill="1" applyBorder="1" applyAlignment="1">
      <x:alignment vertical="center" wrapText="1"/>
    </x:xf>
    <x:xf numFmtId="0" fontId="17" fillId="6" borderId="12" xfId="0" applyNumberFormat="1" applyFont="1" applyFill="1" applyBorder="1" applyAlignment="1">
      <x:alignment vertical="center" wrapText="1"/>
    </x:xf>
    <x:xf numFmtId="0" fontId="17" fillId="6" borderId="13" xfId="0" applyNumberFormat="1" applyFont="1" applyFill="1" applyBorder="1" applyAlignment="1">
      <x:alignment vertical="center" wrapText="1"/>
    </x:xf>
    <x:xf numFmtId="0" fontId="17" fillId="6" borderId="0" xfId="0" applyNumberFormat="1" applyFont="1" applyFill="1" applyBorder="1" applyAlignment="1">
      <x:alignment vertical="center" wrapText="1"/>
    </x:xf>
    <x:xf numFmtId="0" fontId="17" fillId="6" borderId="14" xfId="0" applyNumberFormat="1" applyFont="1" applyFill="1" applyBorder="1" applyAlignment="1">
      <x:alignment vertical="center" wrapText="1"/>
    </x:xf>
    <x:xf numFmtId="0" fontId="17" fillId="6" borderId="15" xfId="0" applyNumberFormat="1" applyFont="1" applyFill="1" applyBorder="1" applyAlignment="1">
      <x:alignment vertical="center" wrapText="1"/>
    </x:xf>
    <x:xf numFmtId="0" fontId="17" fillId="6" borderId="16" xfId="0" applyNumberFormat="1" applyFont="1" applyFill="1" applyBorder="1" applyAlignment="1">
      <x:alignment vertical="center" wrapText="1"/>
    </x:xf>
    <x:xf numFmtId="0" fontId="17" fillId="6" borderId="17" xfId="0" applyNumberFormat="1" applyFont="1" applyFill="1" applyBorder="1" applyAlignment="1">
      <x:alignment vertical="center" wrapText="1"/>
    </x:xf>
    <x:xf numFmtId="0" fontId="18" fillId="7" borderId="9" xfId="0" applyNumberFormat="1" applyFont="1" applyFill="1" applyBorder="1" applyAlignment="1">
      <x:alignment horizontal="center" vertical="center" wrapText="1"/>
    </x:xf>
    <x:xf numFmtId="0" fontId="16" fillId="0" borderId="9" xfId="0" applyNumberFormat="1" applyFont="1" applyFill="1" applyBorder="1" applyAlignment="1">
      <x:alignment vertical="top" wrapText="1"/>
    </x:xf>
    <x:xf numFmtId="0" fontId="15" fillId="8" borderId="9" xfId="0" applyNumberFormat="1" applyFont="1" applyFill="1" applyBorder="1" applyAlignment="1">
      <x:alignment vertical="top" wrapText="1"/>
    </x:xf>
    <x:xf numFmtId="0" fontId="15" fillId="9" borderId="9" xfId="0" applyNumberFormat="1" applyFont="1" applyFill="1" applyBorder="1" applyAlignment="1">
      <x:alignment vertical="top" wrapText="1"/>
    </x:xf>
    <x:xf numFmtId="0" fontId="15" fillId="6" borderId="9" xfId="0" applyNumberFormat="1" applyFont="1" applyFill="1" applyBorder="1" applyAlignment="1">
      <x:alignment vertical="top" wrapText="1"/>
    </x:xf>
    <x:xf numFmtId="0" fontId="15" fillId="10" borderId="9" xfId="0" applyNumberFormat="1" applyFont="1" applyFill="1" applyBorder="1" applyAlignment="1">
      <x:alignment vertical="top" wrapText="1"/>
    </x:xf>
    <x:xf numFmtId="0" fontId="16" fillId="8" borderId="9" xfId="0" applyNumberFormat="1" applyFont="1" applyFill="1" applyBorder="1" applyAlignment="1">
      <x:alignment vertical="top" wrapText="1"/>
    </x:xf>
    <x:xf numFmtId="0" fontId="16" fillId="9" borderId="9" xfId="0" applyNumberFormat="1" applyFont="1" applyFill="1" applyBorder="1" applyAlignment="1">
      <x:alignment vertical="top" wrapText="1"/>
    </x:xf>
    <x:xf numFmtId="0" fontId="16" fillId="6" borderId="9" xfId="0" applyNumberFormat="1" applyFont="1" applyFill="1" applyBorder="1" applyAlignment="1">
      <x:alignment vertical="top" wrapText="1"/>
    </x:xf>
    <x:xf numFmtId="0" fontId="16" fillId="10" borderId="9" xfId="0" applyNumberFormat="1" applyFont="1" applyFill="1" applyBorder="1" applyAlignment="1">
      <x:alignment vertical="top" wrapText="1"/>
    </x:xf>
    <x:xf numFmtId="200" fontId="16" fillId="0" borderId="9" xfId="0" applyNumberFormat="1" applyFont="1" applyFill="1" applyBorder="1" applyAlignment="1">
      <x:alignment horizontal="center" vertical="top" wrapText="1"/>
    </x:xf>
    <x:xf numFmtId="0" fontId="11" fillId="3" borderId="1" xfId="0" applyNumberFormat="1" applyFont="1" applyFill="1" applyBorder="1" applyAlignment="1">
      <x:alignment vertical="center" wrapText="1"/>
    </x:xf>
    <x:xf numFmtId="0" fontId="11" fillId="3" borderId="2" xfId="0" applyNumberFormat="1" applyFont="1" applyFill="1" applyBorder="1" applyAlignment="1">
      <x:alignment vertical="center" wrapText="1"/>
    </x:xf>
    <x:xf numFmtId="0" fontId="11" fillId="3" borderId="3" xfId="0" applyNumberFormat="1" applyFont="1" applyFill="1" applyBorder="1" applyAlignment="1">
      <x:alignment vertical="center" wrapText="1"/>
    </x:xf>
    <x:xf numFmtId="0" fontId="11" fillId="3" borderId="4" xfId="0" applyNumberFormat="1" applyFont="1" applyFill="1" applyBorder="1" applyAlignment="1">
      <x:alignment vertical="center" wrapText="1"/>
    </x:xf>
    <x:xf numFmtId="0" fontId="11" fillId="3" borderId="5" xfId="0" applyNumberFormat="1" applyFont="1" applyFill="1" applyBorder="1" applyAlignment="1">
      <x:alignment vertical="center" wrapText="1"/>
    </x:xf>
    <x:xf numFmtId="0" fontId="11" fillId="3" borderId="6"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0" fontId="11" fillId="3" borderId="8" xfId="0" applyNumberFormat="1" applyFont="1" applyFill="1" applyBorder="1" applyAlignment="1">
      <x:alignment vertical="center" wrapText="1"/>
    </x:xf>
    <x:xf numFmtId="200" fontId="16" fillId="0" borderId="9" xfId="0" applyNumberFormat="1" applyFont="1" applyFill="1" applyBorder="1" applyAlignment="1">
      <x:alignment vertical="top" wrapText="1"/>
    </x:xf>
    <x:xf numFmtId="0" fontId="19" fillId="4" borderId="9" xfId="0" applyNumberFormat="1" applyFont="1" applyFill="1" applyBorder="1"/>
  </x:cellXfs>
  <x:cellStyles count="1">
    <x:cellStyle name="Normal" xfId="0"/>
  </x:cellStyles>
  <x:dxfs count="1">
    <x:dxf>
      <x:font>
        <x:b/>
        <x:color rgb="FF315B52"/>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64610e1ae64a13" /><Relationship Type="http://schemas.openxmlformats.org/officeDocument/2006/relationships/theme" Target="/xl/theme/theme1.xml" Id="Rb66a962f6af34496" /><Relationship Type="http://schemas.openxmlformats.org/officeDocument/2006/relationships/sharedStrings" Target="/xl/sharedStrings.xml" Id="Re84f6d645c284a5b" /><Relationship Type="http://schemas.openxmlformats.org/officeDocument/2006/relationships/worksheet" Target="/xl/worksheets/sheet1.xml" Id="Rccf4b1cffd79461e" /><Relationship Type="http://schemas.openxmlformats.org/officeDocument/2006/relationships/worksheet" Target="/xl/worksheets/sheet2.xml" Id="Rcefa448b563a45ae" /><Relationship Type="http://schemas.openxmlformats.org/officeDocument/2006/relationships/worksheet" Target="/xl/worksheets/sheet3.xml" Id="Rf97eb9eac0094c69" /><Relationship Type="http://schemas.openxmlformats.org/officeDocument/2006/relationships/worksheet" Target="/xl/worksheets/sheet4.xml" Id="Rffd09e9407004793" /><Relationship Type="http://schemas.openxmlformats.org/officeDocument/2006/relationships/worksheet" Target="/xl/worksheets/sheet5.xml" Id="R23d2876cd2cb4e47" /><Relationship Type="http://schemas.openxmlformats.org/officeDocument/2006/relationships/worksheet" Target="/xl/worksheets/sheet6.xml" Id="Rdb58a09f112d43dc" /></Relationships>
</file>

<file path=xl/tables/table1.xml><?xml version="1.0" encoding="utf-8"?>
<x:table xmlns:x="http://schemas.openxmlformats.org/spreadsheetml/2006/main" id="1" name="QuestionsAnswersTable" displayName="QuestionsAnswersTable" ref="A4:R71" headerRowCount="1">
  <x:tableColumns count="18">
    <x:tableColumn id="1" name="Lookup Key"/>
    <x:tableColumn id="2" name="Step #"/>
    <x:tableColumn id="3" name="Step ID"/>
    <x:tableColumn id="4" name="Step Title"/>
    <x:tableColumn id="5" name="Question ID"/>
    <x:tableColumn id="6" name="Question"/>
    <x:tableColumn id="7" name="Category"/>
    <x:tableColumn id="8" name="Requirement"/>
    <x:tableColumn id="9" name="Answer Option"/>
    <x:tableColumn id="10" name="Internal Value"/>
    <x:tableColumn id="11" name="Score /100"/>
    <x:tableColumn id="12" name="Revised Question / Answer Wording"/>
    <x:tableColumn id="13" name="Clinical Rationale"/>
    <x:tableColumn id="14" name="Evidence / Source"/>
    <x:tableColumn id="15" name="Safety Concern"/>
    <x:tableColumn id="16" name="Recommended Action"/>
    <x:tableColumn id="17" name="Review Status"/>
    <x:tableColumn id="18" name="Implementation Notes"/>
  </x:tableColumns>
  <x:tableStyleInfo name="TableStyleMedium2" showRowStripes="1"/>
</x:table>
</file>

<file path=xl/tables/table2.xml><?xml version="1.0" encoding="utf-8"?>
<x:table xmlns:x="http://schemas.openxmlformats.org/spreadsheetml/2006/main" id="2" name="FlowMapTable" displayName="FlowMapTable" ref="A5:J14" headerRowCount="1">
  <x:tableColumns count="10">
    <x:tableColumn id="1" name="Sequence"/>
    <x:tableColumn id="2" name="Screen / Step ID"/>
    <x:tableColumn id="3" name="Title"/>
    <x:tableColumn id="4" name="Questions"/>
    <x:tableColumn id="5" name="Required to Continue"/>
    <x:tableColumn id="6" name="Optional Questions"/>
    <x:tableColumn id="7" name="Next Destination"/>
    <x:tableColumn id="8" name="Answer-dependent Branch?"/>
    <x:tableColumn id="9" name="Review Notes"/>
    <x:tableColumn id="10" name="Status"/>
  </x:tableColumns>
  <x:tableStyleInfo name="TableStyleMedium2" showRowStripes="1"/>
</x:table>
</file>

<file path=xl/tables/table3.xml><?xml version="1.0" encoding="utf-8"?>
<x:table xmlns:x="http://schemas.openxmlformats.org/spreadsheetml/2006/main" id="3" name="ProposedChangesTable" displayName="ProposedChangesTable" ref="A4:R34" headerRowCount="1">
  <x:tableColumns count="18">
    <x:tableColumn id="1" name="Change ID"/>
    <x:tableColumn id="2" name="Action"/>
    <x:tableColumn id="3" name="Content Type"/>
    <x:tableColumn id="4" name="Target Step / Section"/>
    <x:tableColumn id="5" name="Existing ID"/>
    <x:tableColumn id="6" name="Proposed New ID"/>
    <x:tableColumn id="7" name="Current Wording / Rule"/>
    <x:tableColumn id="8" name="Proposed Wording / Rule"/>
    <x:tableColumn id="9" name="Answer Options / Values"/>
    <x:tableColumn id="10" name="Score(s)"/>
    <x:tableColumn id="11" name="Condition / Branch Logic"/>
    <x:tableColumn id="12" name="Advice / Result"/>
    <x:tableColumn id="13" name="Clinical Rationale"/>
    <x:tableColumn id="14" name="Evidence / Source"/>
    <x:tableColumn id="15" name="Safety Concern"/>
    <x:tableColumn id="16" name="Priority"/>
    <x:tableColumn id="17" name="Approval Status"/>
    <x:tableColumn id="18" name="Implementation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c2700be9c84ffe" /></Relationships>
</file>

<file path=xl/worksheets/_rels/sheet4.xml.rels>&#65279;<?xml version="1.0" encoding="utf-8"?><Relationships xmlns="http://schemas.openxmlformats.org/package/2006/relationships"><Relationship Type="http://schemas.openxmlformats.org/officeDocument/2006/relationships/table" Target="/xl/tables/table2.xml" Id="Rbc4a2d53bc03492b" /></Relationships>
</file>

<file path=xl/worksheets/_rels/sheet6.xml.rels>&#65279;<?xml version="1.0" encoding="utf-8"?><Relationships xmlns="http://schemas.openxmlformats.org/package/2006/relationships"><Relationship Type="http://schemas.openxmlformats.org/officeDocument/2006/relationships/table" Target="/xl/tables/table3.xml" Id="R498292da008d412e"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134" t="str">
        <x:v>Nutrition Assessment: Dietitian Review Workbook</x:v>
      </x:c>
      <x:c r="B1" s="134"/>
      <x:c r="C1" s="134"/>
      <x:c r="D1" s="134"/>
      <x:c r="E1" s="134"/>
      <x:c r="F1" s="134"/>
      <x:c r="G1" s="134"/>
      <x:c r="H1" s="134"/>
    </x:row>
    <x:row r="2" ht="28" customHeight="1">
      <x:c r="A2" s="135" t="str">
        <x:v>Editable clinical-content review of the assessment currently implemented on the Nutrition by Iballa website.</x:v>
      </x:c>
      <x:c r="B2" s="135"/>
      <x:c r="C2" s="135"/>
      <x:c r="D2" s="135"/>
      <x:c r="E2" s="135"/>
      <x:c r="F2" s="135"/>
      <x:c r="G2" s="135"/>
      <x:c r="H2" s="135"/>
    </x:row>
    <x:row r="3" ht="28" customHeight="1">
      <x:c r="A3" s="135"/>
      <x:c r="B3" s="135"/>
      <x:c r="C3" s="135"/>
      <x:c r="D3" s="135"/>
      <x:c r="E3" s="135"/>
      <x:c r="F3" s="135"/>
      <x:c r="G3" s="135"/>
      <x:c r="H3" s="135"/>
    </x:row>
    <x:row r="4" ht="24" customHeight="1">
      <x:c r="A4" s="136" t="str">
        <x:v>Purpose and Use</x:v>
      </x:c>
      <x:c r="B4" s="136"/>
      <x:c r="C4" s="136"/>
      <x:c r="D4" s="136"/>
      <x:c r="E4" s="136"/>
      <x:c r="F4" s="136"/>
      <x:c r="G4" s="136"/>
      <x:c r="H4" s="136"/>
    </x:row>
    <x:row r="5">
      <x:c r="A5" s="137" t="str">
        <x:v>This workbook documents the current assessment content and calculation rules for professional sanity checking. Pale-yellow cells are intended for dietitian input. Edits made here are review recommendations only and do not automatically change the website.</x:v>
      </x:c>
      <x:c r="B5" s="138"/>
      <x:c r="C5" s="138"/>
      <x:c r="D5" s="138"/>
      <x:c r="E5" s="138"/>
      <x:c r="F5" s="138"/>
      <x:c r="G5" s="138"/>
      <x:c r="H5" s="139"/>
    </x:row>
    <x:row r="6">
      <x:c r="A6" s="140"/>
      <x:c r="B6" s="141"/>
      <x:c r="C6" s="141"/>
      <x:c r="D6" s="141"/>
      <x:c r="E6" s="141"/>
      <x:c r="F6" s="141"/>
      <x:c r="G6" s="141"/>
      <x:c r="H6" s="142"/>
    </x:row>
    <x:row r="7">
      <x:c r="A7" s="143"/>
      <x:c r="B7" s="144"/>
      <x:c r="C7" s="144"/>
      <x:c r="D7" s="144"/>
      <x:c r="E7" s="144"/>
      <x:c r="F7" s="144"/>
      <x:c r="G7" s="144"/>
      <x:c r="H7" s="145"/>
    </x:row>
    <x:row r="8">
      <x:c r="A8" s="146"/>
      <x:c r="B8" s="146"/>
      <x:c r="C8" s="146"/>
      <x:c r="D8" s="146"/>
      <x:c r="E8" s="146"/>
      <x:c r="F8" s="146"/>
      <x:c r="G8" s="146"/>
      <x:c r="H8" s="146"/>
    </x:row>
    <x:row r="9" ht="24" customHeight="1">
      <x:c r="A9" s="136" t="str">
        <x:v>Current Assessment Snapshot</x:v>
      </x:c>
      <x:c r="B9" s="136"/>
      <x:c r="C9" s="136"/>
      <x:c r="D9" s="136"/>
      <x:c r="E9" s="136" t="str">
        <x:v>Clinical Safety Notice</x:v>
      </x:c>
      <x:c r="F9" s="136"/>
      <x:c r="G9" s="136"/>
      <x:c r="H9" s="136"/>
    </x:row>
    <x:row r="10">
      <x:c r="A10" s="147" t="str">
        <x:v>Steps</x:v>
      </x:c>
      <x:c r="B10" s="148" t="n">
        <x:v>7</x:v>
      </x:c>
      <x:c r="C10" s="146"/>
      <x:c r="D10" s="146"/>
      <x:c r="E10" s="149" t="str">
        <x:v>The website states that this tool provides general educational insights only and does not diagnose or replace personalised medical or dietetic advice. Review wording, scores, thresholds, omissions, contraindications, referral triggers, and whether any answer could produce unsafe or misleading advice.</x:v>
      </x:c>
      <x:c r="F10" s="150"/>
      <x:c r="G10" s="150"/>
      <x:c r="H10" s="151"/>
    </x:row>
    <x:row r="11">
      <x:c r="A11" s="147" t="str">
        <x:v>Questions</x:v>
      </x:c>
      <x:c r="B11" s="148" t="n">
        <x:v>16</x:v>
      </x:c>
      <x:c r="C11" s="146"/>
      <x:c r="D11" s="146"/>
      <x:c r="E11" s="152"/>
      <x:c r="F11" s="153"/>
      <x:c r="G11" s="153"/>
      <x:c r="H11" s="154"/>
    </x:row>
    <x:row r="12">
      <x:c r="A12" s="147" t="str">
        <x:v>Answer options</x:v>
      </x:c>
      <x:c r="B12" s="148" t="n">
        <x:v>67</x:v>
      </x:c>
      <x:c r="C12" s="146"/>
      <x:c r="D12" s="146"/>
      <x:c r="E12" s="152"/>
      <x:c r="F12" s="153"/>
      <x:c r="G12" s="153"/>
      <x:c r="H12" s="154"/>
    </x:row>
    <x:row r="13">
      <x:c r="A13" s="147" t="str">
        <x:v>Scored questions</x:v>
      </x:c>
      <x:c r="B13" s="148" t="n">
        <x:v>13</x:v>
      </x:c>
      <x:c r="C13" s="146"/>
      <x:c r="D13" s="146"/>
      <x:c r="E13" s="152"/>
      <x:c r="F13" s="153"/>
      <x:c r="G13" s="153"/>
      <x:c r="H13" s="154"/>
    </x:row>
    <x:row r="14">
      <x:c r="A14" s="147" t="str">
        <x:v>Scored categories</x:v>
      </x:c>
      <x:c r="B14" s="148" t="n">
        <x:v>6</x:v>
      </x:c>
      <x:c r="C14" s="146"/>
      <x:c r="D14" s="146"/>
      <x:c r="E14" s="152"/>
      <x:c r="F14" s="153"/>
      <x:c r="G14" s="153"/>
      <x:c r="H14" s="154"/>
    </x:row>
    <x:row r="15">
      <x:c r="A15" s="147" t="str">
        <x:v>Categories in overall score</x:v>
      </x:c>
      <x:c r="B15" s="148" t="n">
        <x:v>5</x:v>
      </x:c>
      <x:c r="C15" s="146"/>
      <x:c r="D15" s="146"/>
      <x:c r="E15" s="155"/>
      <x:c r="F15" s="156"/>
      <x:c r="G15" s="156"/>
      <x:c r="H15" s="157"/>
    </x:row>
    <x:row r="16">
      <x:c r="A16" s="146"/>
      <x:c r="B16" s="146"/>
      <x:c r="C16" s="146"/>
      <x:c r="D16" s="146"/>
      <x:c r="E16" s="146"/>
      <x:c r="F16" s="146"/>
      <x:c r="G16" s="146"/>
      <x:c r="H16" s="146"/>
    </x:row>
    <x:row r="17" ht="24" customHeight="1">
      <x:c r="A17" s="136" t="str">
        <x:v>How to Review</x:v>
      </x:c>
      <x:c r="B17" s="136"/>
      <x:c r="C17" s="136"/>
      <x:c r="D17" s="136"/>
      <x:c r="E17" s="136"/>
      <x:c r="F17" s="136"/>
      <x:c r="G17" s="136"/>
      <x:c r="H17" s="136"/>
    </x:row>
    <x:row r="18" ht="34" customHeight="1">
      <x:c r="A18" s="158" t="str">
        <x:v>1</x:v>
      </x:c>
      <x:c r="B18" s="147" t="str">
        <x:v>Questions &amp; Answers</x:v>
      </x:c>
      <x:c r="C18" s="159" t="str">
        <x:v>Review every question, answer label, internal value, and score. Enter revised wording, rationale, evidence, safety concerns, and action in yellow columns.</x:v>
      </x:c>
      <x:c r="D18" s="159" t="str"/>
      <x:c r="E18" s="159" t="str"/>
      <x:c r="F18" s="159" t="str"/>
      <x:c r="G18" s="159" t="str"/>
      <x:c r="H18" s="159" t="str"/>
    </x:row>
    <x:row r="19" ht="34" customHeight="1">
      <x:c r="A19" s="158" t="str">
        <x:v>2</x:v>
      </x:c>
      <x:c r="B19" s="147" t="str">
        <x:v>Results Logic</x:v>
      </x:c>
      <x:c r="C19" s="159" t="str">
        <x:v>Review score bands, category summaries, overall-score exclusions, and recommendation triggers.</x:v>
      </x:c>
      <x:c r="D19" s="159" t="str"/>
      <x:c r="E19" s="159" t="str"/>
      <x:c r="F19" s="159" t="str"/>
      <x:c r="G19" s="159" t="str"/>
      <x:c r="H19" s="159" t="str"/>
    </x:row>
    <x:row r="20" ht="34" customHeight="1">
      <x:c r="A20" s="158" t="str">
        <x:v>3</x:v>
      </x:c>
      <x:c r="B20" s="147" t="str">
        <x:v>Flow Map</x:v>
      </x:c>
      <x:c r="C20" s="159" t="str">
        <x:v>Confirm the seven-step order and completion rules. The current assessment contains no answer-dependent branching.</x:v>
      </x:c>
      <x:c r="D20" s="159" t="str"/>
      <x:c r="E20" s="159" t="str"/>
      <x:c r="F20" s="159" t="str"/>
      <x:c r="G20" s="159" t="str"/>
      <x:c r="H20" s="159" t="str"/>
    </x:row>
    <x:row r="21" ht="34" customHeight="1">
      <x:c r="A21" s="158" t="str">
        <x:v>4</x:v>
      </x:c>
      <x:c r="B21" s="147" t="str">
        <x:v>Scenario Tester</x:v>
      </x:c>
      <x:c r="C21" s="159" t="str">
        <x:v>Choose answers from dropdowns to reproduce scores and advice generated by the current rules.</x:v>
      </x:c>
      <x:c r="D21" s="159" t="str"/>
      <x:c r="E21" s="159" t="str"/>
      <x:c r="F21" s="159" t="str"/>
      <x:c r="G21" s="159" t="str"/>
      <x:c r="H21" s="159" t="str"/>
    </x:row>
    <x:row r="22" ht="34" customHeight="1">
      <x:c r="A22" s="158" t="str">
        <x:v>5</x:v>
      </x:c>
      <x:c r="B22" s="147" t="str">
        <x:v>Proposed Changes</x:v>
      </x:c>
      <x:c r="C22" s="159" t="str">
        <x:v>Add new questions, answers, conditional flows, or advice in a structured implementation-ready format.</x:v>
      </x:c>
      <x:c r="D22" s="159" t="str"/>
      <x:c r="E22" s="159" t="str"/>
      <x:c r="F22" s="159" t="str"/>
      <x:c r="G22" s="159" t="str"/>
      <x:c r="H22" s="159" t="str"/>
    </x:row>
    <x:row r="23" ht="34" customHeight="1">
      <x:c r="A23" s="158" t="str">
        <x:v>6</x:v>
      </x:c>
      <x:c r="B23" s="147" t="str">
        <x:v>Sign-off</x:v>
      </x:c>
      <x:c r="C23" s="159" t="str">
        <x:v>Use status fields to distinguish comments, requested changes, and approved clinical content.</x:v>
      </x:c>
      <x:c r="D23" s="159" t="str"/>
      <x:c r="E23" s="159" t="str"/>
      <x:c r="F23" s="159" t="str"/>
      <x:c r="G23" s="159" t="str"/>
      <x:c r="H23" s="159" t="str"/>
    </x:row>
    <x:row r="24">
      <x:c r="A24" s="146"/>
      <x:c r="B24" s="146"/>
      <x:c r="C24" s="146"/>
      <x:c r="D24" s="146"/>
      <x:c r="E24" s="146"/>
      <x:c r="F24" s="146"/>
      <x:c r="G24" s="146"/>
      <x:c r="H24" s="146"/>
    </x:row>
    <x:row r="25" ht="24" customHeight="1">
      <x:c r="A25" s="136" t="str">
        <x:v>Color Key</x:v>
      </x:c>
      <x:c r="B25" s="136"/>
      <x:c r="C25" s="136"/>
      <x:c r="D25" s="136"/>
      <x:c r="E25" s="136"/>
      <x:c r="F25" s="136"/>
      <x:c r="G25" s="136"/>
      <x:c r="H25" s="136"/>
    </x:row>
    <x:row r="26">
      <x:c r="A26" s="160" t="str">
        <x:v>Source content</x:v>
      </x:c>
      <x:c r="B26" s="160" t="str"/>
      <x:c r="C26" s="161" t="str">
        <x:v>Dietitian input</x:v>
      </x:c>
      <x:c r="D26" s="161" t="str"/>
      <x:c r="E26" s="162" t="str">
        <x:v>Safety concern</x:v>
      </x:c>
      <x:c r="F26" s="162" t="str"/>
      <x:c r="G26" s="163" t="str">
        <x:v>Approved / acceptable</x:v>
      </x:c>
      <x:c r="H26" s="163" t="str"/>
    </x:row>
    <x:row r="27">
      <x:c r="A27" s="164" t="str">
        <x:v>Neutral cells reflect current website logic.</x:v>
      </x:c>
      <x:c r="B27" s="164" t="str"/>
      <x:c r="C27" s="165" t="str">
        <x:v>Pale-yellow cells are editable review fields.</x:v>
      </x:c>
      <x:c r="D27" s="165" t="str"/>
      <x:c r="E27" s="166" t="str">
        <x:v>Red-tinted cells flag safety-sensitive review.</x:v>
      </x:c>
      <x:c r="F27" s="166" t="str"/>
      <x:c r="G27" s="167" t="str">
        <x:v>Green indicates approved or acceptable status.</x:v>
      </x:c>
      <x:c r="H27" s="167" t="str"/>
    </x:row>
  </x:sheetData>
  <x:mergeCells>
    <x:mergeCell ref="A1:H1"/>
    <x:mergeCell ref="A2:H3"/>
    <x:mergeCell ref="A4:H4"/>
    <x:mergeCell ref="A5:H7"/>
    <x:mergeCell ref="A9:D9"/>
    <x:mergeCell ref="E9:H9"/>
    <x:mergeCell ref="E10:H15"/>
    <x:mergeCell ref="A17:H17"/>
    <x:mergeCell ref="C18:H18"/>
    <x:mergeCell ref="C19:H19"/>
    <x:mergeCell ref="C20:H20"/>
    <x:mergeCell ref="C21:H21"/>
    <x:mergeCell ref="C22:H22"/>
    <x:mergeCell ref="C23:H23"/>
    <x:mergeCell ref="A25: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8" hidden="0" customWidth="1"/>
    <x:col min="3" max="3" width="20" hidden="0" customWidth="1"/>
    <x:col min="4" max="4" width="24" hidden="0" customWidth="1"/>
    <x:col min="5" max="5" width="22" hidden="0" customWidth="1"/>
    <x:col min="6" max="6" width="42" hidden="0" customWidth="1"/>
    <x:col min="7" max="7" width="20" hidden="0" customWidth="1"/>
    <x:col min="8" max="8" width="12" hidden="0" customWidth="1"/>
    <x:col min="9" max="9" width="30" hidden="0" customWidth="1"/>
    <x:col min="10" max="10" width="20" hidden="0" customWidth="1"/>
    <x:col min="11" max="11" width="11" hidden="0" customWidth="1"/>
    <x:col min="12" max="12" width="38" hidden="0" customWidth="1"/>
    <x:col min="13" max="13" width="34" hidden="0" customWidth="1"/>
    <x:col min="14" max="14" width="30" hidden="0" customWidth="1"/>
    <x:col min="15" max="15" width="30" hidden="0" customWidth="1"/>
    <x:col min="16" max="16" width="18" hidden="0" customWidth="1"/>
    <x:col min="17" max="17" width="20" hidden="0" customWidth="1"/>
    <x:col min="18" max="18" width="32" hidden="0" customWidth="1"/>
  </x:cols>
  <x:sheetData>
    <x:row r="1" ht="34" customHeight="1">
      <x:c r="A1" s="134" t="str">
        <x:v>Questions &amp; Answers</x:v>
      </x:c>
      <x:c r="B1" s="134"/>
      <x:c r="C1" s="134"/>
      <x:c r="D1" s="134"/>
      <x:c r="E1" s="134"/>
      <x:c r="F1" s="134"/>
      <x:c r="G1" s="134"/>
      <x:c r="H1" s="134"/>
      <x:c r="I1" s="134"/>
      <x:c r="J1" s="134"/>
      <x:c r="K1" s="134"/>
      <x:c r="L1" s="134"/>
      <x:c r="M1" s="134"/>
      <x:c r="N1" s="134"/>
      <x:c r="O1" s="134"/>
      <x:c r="P1" s="134"/>
      <x:c r="Q1" s="134"/>
      <x:c r="R1" s="134"/>
    </x:row>
    <x:row r="2" ht="28" customHeight="1">
      <x:c r="A2" s="135" t="str">
        <x:v>One row per answer option. Source fields reflect the current website; yellow columns are for dietitian review.</x:v>
      </x:c>
      <x:c r="B2" s="135"/>
      <x:c r="C2" s="135"/>
      <x:c r="D2" s="135"/>
      <x:c r="E2" s="135"/>
      <x:c r="F2" s="135"/>
      <x:c r="G2" s="135"/>
      <x:c r="H2" s="135"/>
      <x:c r="I2" s="135"/>
      <x:c r="J2" s="135"/>
      <x:c r="K2" s="135"/>
      <x:c r="L2" s="135"/>
      <x:c r="M2" s="135"/>
      <x:c r="N2" s="135"/>
      <x:c r="O2" s="135"/>
      <x:c r="P2" s="135"/>
      <x:c r="Q2" s="135"/>
      <x:c r="R2" s="135"/>
    </x:row>
    <x:row r="3" ht="28" customHeight="1">
      <x:c r="A3" s="135"/>
      <x:c r="B3" s="135"/>
      <x:c r="C3" s="135"/>
      <x:c r="D3" s="135"/>
      <x:c r="E3" s="135"/>
      <x:c r="F3" s="135"/>
      <x:c r="G3" s="135"/>
      <x:c r="H3" s="135"/>
      <x:c r="I3" s="135"/>
      <x:c r="J3" s="135"/>
      <x:c r="K3" s="135"/>
      <x:c r="L3" s="135"/>
      <x:c r="M3" s="135"/>
      <x:c r="N3" s="135"/>
      <x:c r="O3" s="135"/>
      <x:c r="P3" s="135"/>
      <x:c r="Q3" s="135"/>
      <x:c r="R3" s="135"/>
    </x:row>
    <x:row r="4" ht="34" customHeight="1">
      <x:c r="A4" s="158" t="str">
        <x:v>Lookup Key</x:v>
      </x:c>
      <x:c r="B4" s="158" t="str">
        <x:v>Step #</x:v>
      </x:c>
      <x:c r="C4" s="158" t="str">
        <x:v>Step ID</x:v>
      </x:c>
      <x:c r="D4" s="158" t="str">
        <x:v>Step Title</x:v>
      </x:c>
      <x:c r="E4" s="158" t="str">
        <x:v>Question ID</x:v>
      </x:c>
      <x:c r="F4" s="158" t="str">
        <x:v>Question</x:v>
      </x:c>
      <x:c r="G4" s="158" t="str">
        <x:v>Category</x:v>
      </x:c>
      <x:c r="H4" s="158" t="str">
        <x:v>Requirement</x:v>
      </x:c>
      <x:c r="I4" s="158" t="str">
        <x:v>Answer Option</x:v>
      </x:c>
      <x:c r="J4" s="158" t="str">
        <x:v>Internal Value</x:v>
      </x:c>
      <x:c r="K4" s="158" t="str">
        <x:v>Score /100</x:v>
      </x:c>
      <x:c r="L4" s="158" t="str">
        <x:v>Revised Question / Answer Wording</x:v>
      </x:c>
      <x:c r="M4" s="158" t="str">
        <x:v>Clinical Rationale</x:v>
      </x:c>
      <x:c r="N4" s="158" t="str">
        <x:v>Evidence / Source</x:v>
      </x:c>
      <x:c r="O4" s="158" t="str">
        <x:v>Safety Concern</x:v>
      </x:c>
      <x:c r="P4" s="158" t="str">
        <x:v>Recommended Action</x:v>
      </x:c>
      <x:c r="Q4" s="158" t="str">
        <x:v>Review Status</x:v>
      </x:c>
      <x:c r="R4" s="158" t="str">
        <x:v>Implementation Notes</x:v>
      </x:c>
    </x:row>
    <x:row r="5" ht="42" customHeight="1">
      <x:c r="A5" s="159" t="str">
        <x:v>ageRange|18-24</x:v>
      </x:c>
      <x:c r="B5" s="148" t="n">
        <x:v>1</x:v>
      </x:c>
      <x:c r="C5" s="159" t="str">
        <x:v>basics</x:v>
      </x:c>
      <x:c r="D5" s="159" t="str">
        <x:v>Basic information</x:v>
      </x:c>
      <x:c r="E5" s="159" t="str">
        <x:v>ageRange</x:v>
      </x:c>
      <x:c r="F5" s="159" t="str">
        <x:v>What is your age range?</x:v>
      </x:c>
      <x:c r="G5" s="159" t="str">
        <x:v>Unscored profile</x:v>
      </x:c>
      <x:c r="H5" s="159" t="str">
        <x:v>Required</x:v>
      </x:c>
      <x:c r="I5" s="159" t="str">
        <x:v>18-24</x:v>
      </x:c>
      <x:c r="J5" s="159" t="str">
        <x:v>18-24</x:v>
      </x:c>
      <x:c r="K5" s="168"/>
      <x:c r="L5" s="165" t="str"/>
      <x:c r="M5" s="165" t="str"/>
      <x:c r="N5" s="165" t="str"/>
      <x:c r="O5" s="166" t="str"/>
      <x:c r="P5" s="165" t="str">
        <x:v>Keep</x:v>
      </x:c>
      <x:c r="Q5" s="165" t="str">
        <x:v>Not reviewed</x:v>
      </x:c>
      <x:c r="R5" s="165" t="str"/>
    </x:row>
    <x:row r="6" ht="42" customHeight="1">
      <x:c r="A6" s="159" t="str">
        <x:v>ageRange|25-34</x:v>
      </x:c>
      <x:c r="B6" s="148" t="n">
        <x:v>1</x:v>
      </x:c>
      <x:c r="C6" s="159" t="str">
        <x:v>basics</x:v>
      </x:c>
      <x:c r="D6" s="159" t="str">
        <x:v>Basic information</x:v>
      </x:c>
      <x:c r="E6" s="159" t="str">
        <x:v>ageRange</x:v>
      </x:c>
      <x:c r="F6" s="159" t="str">
        <x:v>What is your age range?</x:v>
      </x:c>
      <x:c r="G6" s="159" t="str">
        <x:v>Unscored profile</x:v>
      </x:c>
      <x:c r="H6" s="159" t="str">
        <x:v>Required</x:v>
      </x:c>
      <x:c r="I6" s="159" t="str">
        <x:v>25-34</x:v>
      </x:c>
      <x:c r="J6" s="159" t="str">
        <x:v>25-34</x:v>
      </x:c>
      <x:c r="K6" s="168"/>
      <x:c r="L6" s="165" t="str"/>
      <x:c r="M6" s="165" t="str"/>
      <x:c r="N6" s="165" t="str"/>
      <x:c r="O6" s="166" t="str"/>
      <x:c r="P6" s="165" t="str">
        <x:v>Keep</x:v>
      </x:c>
      <x:c r="Q6" s="165" t="str">
        <x:v>Not reviewed</x:v>
      </x:c>
      <x:c r="R6" s="165" t="str"/>
    </x:row>
    <x:row r="7" ht="42" customHeight="1">
      <x:c r="A7" s="159" t="str">
        <x:v>ageRange|35-44</x:v>
      </x:c>
      <x:c r="B7" s="148" t="n">
        <x:v>1</x:v>
      </x:c>
      <x:c r="C7" s="159" t="str">
        <x:v>basics</x:v>
      </x:c>
      <x:c r="D7" s="159" t="str">
        <x:v>Basic information</x:v>
      </x:c>
      <x:c r="E7" s="159" t="str">
        <x:v>ageRange</x:v>
      </x:c>
      <x:c r="F7" s="159" t="str">
        <x:v>What is your age range?</x:v>
      </x:c>
      <x:c r="G7" s="159" t="str">
        <x:v>Unscored profile</x:v>
      </x:c>
      <x:c r="H7" s="159" t="str">
        <x:v>Required</x:v>
      </x:c>
      <x:c r="I7" s="159" t="str">
        <x:v>35-44</x:v>
      </x:c>
      <x:c r="J7" s="159" t="str">
        <x:v>35-44</x:v>
      </x:c>
      <x:c r="K7" s="168"/>
      <x:c r="L7" s="165" t="str"/>
      <x:c r="M7" s="165" t="str"/>
      <x:c r="N7" s="165" t="str"/>
      <x:c r="O7" s="166" t="str"/>
      <x:c r="P7" s="165" t="str">
        <x:v>Keep</x:v>
      </x:c>
      <x:c r="Q7" s="165" t="str">
        <x:v>Not reviewed</x:v>
      </x:c>
      <x:c r="R7" s="165" t="str"/>
    </x:row>
    <x:row r="8" ht="42" customHeight="1">
      <x:c r="A8" s="159" t="str">
        <x:v>ageRange|45-54</x:v>
      </x:c>
      <x:c r="B8" s="148" t="n">
        <x:v>1</x:v>
      </x:c>
      <x:c r="C8" s="159" t="str">
        <x:v>basics</x:v>
      </x:c>
      <x:c r="D8" s="159" t="str">
        <x:v>Basic information</x:v>
      </x:c>
      <x:c r="E8" s="159" t="str">
        <x:v>ageRange</x:v>
      </x:c>
      <x:c r="F8" s="159" t="str">
        <x:v>What is your age range?</x:v>
      </x:c>
      <x:c r="G8" s="159" t="str">
        <x:v>Unscored profile</x:v>
      </x:c>
      <x:c r="H8" s="159" t="str">
        <x:v>Required</x:v>
      </x:c>
      <x:c r="I8" s="159" t="str">
        <x:v>45-54</x:v>
      </x:c>
      <x:c r="J8" s="159" t="str">
        <x:v>45-54</x:v>
      </x:c>
      <x:c r="K8" s="168"/>
      <x:c r="L8" s="165" t="str"/>
      <x:c r="M8" s="165" t="str"/>
      <x:c r="N8" s="165" t="str"/>
      <x:c r="O8" s="166" t="str"/>
      <x:c r="P8" s="165" t="str">
        <x:v>Keep</x:v>
      </x:c>
      <x:c r="Q8" s="165" t="str">
        <x:v>Not reviewed</x:v>
      </x:c>
      <x:c r="R8" s="165" t="str"/>
    </x:row>
    <x:row r="9" ht="42" customHeight="1">
      <x:c r="A9" s="159" t="str">
        <x:v>ageRange|55-64</x:v>
      </x:c>
      <x:c r="B9" s="148" t="n">
        <x:v>1</x:v>
      </x:c>
      <x:c r="C9" s="159" t="str">
        <x:v>basics</x:v>
      </x:c>
      <x:c r="D9" s="159" t="str">
        <x:v>Basic information</x:v>
      </x:c>
      <x:c r="E9" s="159" t="str">
        <x:v>ageRange</x:v>
      </x:c>
      <x:c r="F9" s="159" t="str">
        <x:v>What is your age range?</x:v>
      </x:c>
      <x:c r="G9" s="159" t="str">
        <x:v>Unscored profile</x:v>
      </x:c>
      <x:c r="H9" s="159" t="str">
        <x:v>Required</x:v>
      </x:c>
      <x:c r="I9" s="159" t="str">
        <x:v>55-64</x:v>
      </x:c>
      <x:c r="J9" s="159" t="str">
        <x:v>55-64</x:v>
      </x:c>
      <x:c r="K9" s="168"/>
      <x:c r="L9" s="165" t="str"/>
      <x:c r="M9" s="165" t="str"/>
      <x:c r="N9" s="165" t="str"/>
      <x:c r="O9" s="166" t="str"/>
      <x:c r="P9" s="165" t="str">
        <x:v>Keep</x:v>
      </x:c>
      <x:c r="Q9" s="165" t="str">
        <x:v>Not reviewed</x:v>
      </x:c>
      <x:c r="R9" s="165" t="str"/>
    </x:row>
    <x:row r="10" ht="42" customHeight="1">
      <x:c r="A10" s="159" t="str">
        <x:v>ageRange|65+</x:v>
      </x:c>
      <x:c r="B10" s="148" t="n">
        <x:v>1</x:v>
      </x:c>
      <x:c r="C10" s="159" t="str">
        <x:v>basics</x:v>
      </x:c>
      <x:c r="D10" s="159" t="str">
        <x:v>Basic information</x:v>
      </x:c>
      <x:c r="E10" s="159" t="str">
        <x:v>ageRange</x:v>
      </x:c>
      <x:c r="F10" s="159" t="str">
        <x:v>What is your age range?</x:v>
      </x:c>
      <x:c r="G10" s="159" t="str">
        <x:v>Unscored profile</x:v>
      </x:c>
      <x:c r="H10" s="159" t="str">
        <x:v>Required</x:v>
      </x:c>
      <x:c r="I10" s="159" t="str">
        <x:v>65+</x:v>
      </x:c>
      <x:c r="J10" s="159" t="str">
        <x:v>65-plus</x:v>
      </x:c>
      <x:c r="K10" s="168"/>
      <x:c r="L10" s="165" t="str"/>
      <x:c r="M10" s="165" t="str"/>
      <x:c r="N10" s="165" t="str"/>
      <x:c r="O10" s="166" t="str"/>
      <x:c r="P10" s="165" t="str">
        <x:v>Keep</x:v>
      </x:c>
      <x:c r="Q10" s="165" t="str">
        <x:v>Not reviewed</x:v>
      </x:c>
      <x:c r="R10" s="165" t="str"/>
    </x:row>
    <x:row r="11" ht="42" customHeight="1">
      <x:c r="A11" s="159" t="str">
        <x:v>gender|Female</x:v>
      </x:c>
      <x:c r="B11" s="148" t="n">
        <x:v>1</x:v>
      </x:c>
      <x:c r="C11" s="159" t="str">
        <x:v>basics</x:v>
      </x:c>
      <x:c r="D11" s="159" t="str">
        <x:v>Basic information</x:v>
      </x:c>
      <x:c r="E11" s="159" t="str">
        <x:v>gender</x:v>
      </x:c>
      <x:c r="F11" s="159" t="str">
        <x:v>Gender</x:v>
      </x:c>
      <x:c r="G11" s="159" t="str">
        <x:v>Unscored profile</x:v>
      </x:c>
      <x:c r="H11" s="159" t="str">
        <x:v>Optional</x:v>
      </x:c>
      <x:c r="I11" s="159" t="str">
        <x:v>Female</x:v>
      </x:c>
      <x:c r="J11" s="159" t="str">
        <x:v>female</x:v>
      </x:c>
      <x:c r="K11" s="168"/>
      <x:c r="L11" s="165" t="str"/>
      <x:c r="M11" s="165" t="str"/>
      <x:c r="N11" s="165" t="str"/>
      <x:c r="O11" s="166" t="str"/>
      <x:c r="P11" s="165" t="str">
        <x:v>Keep</x:v>
      </x:c>
      <x:c r="Q11" s="165" t="str">
        <x:v>Not reviewed</x:v>
      </x:c>
      <x:c r="R11" s="165" t="str"/>
    </x:row>
    <x:row r="12" ht="42" customHeight="1">
      <x:c r="A12" s="159" t="str">
        <x:v>gender|Male</x:v>
      </x:c>
      <x:c r="B12" s="148" t="n">
        <x:v>1</x:v>
      </x:c>
      <x:c r="C12" s="159" t="str">
        <x:v>basics</x:v>
      </x:c>
      <x:c r="D12" s="159" t="str">
        <x:v>Basic information</x:v>
      </x:c>
      <x:c r="E12" s="159" t="str">
        <x:v>gender</x:v>
      </x:c>
      <x:c r="F12" s="159" t="str">
        <x:v>Gender</x:v>
      </x:c>
      <x:c r="G12" s="159" t="str">
        <x:v>Unscored profile</x:v>
      </x:c>
      <x:c r="H12" s="159" t="str">
        <x:v>Optional</x:v>
      </x:c>
      <x:c r="I12" s="159" t="str">
        <x:v>Male</x:v>
      </x:c>
      <x:c r="J12" s="159" t="str">
        <x:v>male</x:v>
      </x:c>
      <x:c r="K12" s="168"/>
      <x:c r="L12" s="165" t="str"/>
      <x:c r="M12" s="165" t="str"/>
      <x:c r="N12" s="165" t="str"/>
      <x:c r="O12" s="166" t="str"/>
      <x:c r="P12" s="165" t="str">
        <x:v>Keep</x:v>
      </x:c>
      <x:c r="Q12" s="165" t="str">
        <x:v>Not reviewed</x:v>
      </x:c>
      <x:c r="R12" s="165" t="str"/>
    </x:row>
    <x:row r="13" ht="42" customHeight="1">
      <x:c r="A13" s="159" t="str">
        <x:v>gender|Non-binary</x:v>
      </x:c>
      <x:c r="B13" s="148" t="n">
        <x:v>1</x:v>
      </x:c>
      <x:c r="C13" s="159" t="str">
        <x:v>basics</x:v>
      </x:c>
      <x:c r="D13" s="159" t="str">
        <x:v>Basic information</x:v>
      </x:c>
      <x:c r="E13" s="159" t="str">
        <x:v>gender</x:v>
      </x:c>
      <x:c r="F13" s="159" t="str">
        <x:v>Gender</x:v>
      </x:c>
      <x:c r="G13" s="159" t="str">
        <x:v>Unscored profile</x:v>
      </x:c>
      <x:c r="H13" s="159" t="str">
        <x:v>Optional</x:v>
      </x:c>
      <x:c r="I13" s="159" t="str">
        <x:v>Non-binary</x:v>
      </x:c>
      <x:c r="J13" s="159" t="str">
        <x:v>non-binary</x:v>
      </x:c>
      <x:c r="K13" s="168"/>
      <x:c r="L13" s="165" t="str"/>
      <x:c r="M13" s="165" t="str"/>
      <x:c r="N13" s="165" t="str"/>
      <x:c r="O13" s="166" t="str"/>
      <x:c r="P13" s="165" t="str">
        <x:v>Keep</x:v>
      </x:c>
      <x:c r="Q13" s="165" t="str">
        <x:v>Not reviewed</x:v>
      </x:c>
      <x:c r="R13" s="165" t="str"/>
    </x:row>
    <x:row r="14" ht="42" customHeight="1">
      <x:c r="A14" s="159" t="str">
        <x:v>gender|Prefer not to say</x:v>
      </x:c>
      <x:c r="B14" s="148" t="n">
        <x:v>1</x:v>
      </x:c>
      <x:c r="C14" s="159" t="str">
        <x:v>basics</x:v>
      </x:c>
      <x:c r="D14" s="159" t="str">
        <x:v>Basic information</x:v>
      </x:c>
      <x:c r="E14" s="159" t="str">
        <x:v>gender</x:v>
      </x:c>
      <x:c r="F14" s="159" t="str">
        <x:v>Gender</x:v>
      </x:c>
      <x:c r="G14" s="159" t="str">
        <x:v>Unscored profile</x:v>
      </x:c>
      <x:c r="H14" s="159" t="str">
        <x:v>Optional</x:v>
      </x:c>
      <x:c r="I14" s="159" t="str">
        <x:v>Prefer not to say</x:v>
      </x:c>
      <x:c r="J14" s="159" t="str">
        <x:v>prefer-not</x:v>
      </x:c>
      <x:c r="K14" s="168"/>
      <x:c r="L14" s="165" t="str"/>
      <x:c r="M14" s="165" t="str"/>
      <x:c r="N14" s="165" t="str"/>
      <x:c r="O14" s="166" t="str"/>
      <x:c r="P14" s="165" t="str">
        <x:v>Keep</x:v>
      </x:c>
      <x:c r="Q14" s="165" t="str">
        <x:v>Not reviewed</x:v>
      </x:c>
      <x:c r="R14" s="165" t="str"/>
    </x:row>
    <x:row r="15" ht="42" customHeight="1">
      <x:c r="A15" s="159" t="str">
        <x:v>mainGoal|Improve health</x:v>
      </x:c>
      <x:c r="B15" s="148" t="n">
        <x:v>1</x:v>
      </x:c>
      <x:c r="C15" s="159" t="str">
        <x:v>basics</x:v>
      </x:c>
      <x:c r="D15" s="159" t="str">
        <x:v>Basic information</x:v>
      </x:c>
      <x:c r="E15" s="159" t="str">
        <x:v>mainGoal</x:v>
      </x:c>
      <x:c r="F15" s="159" t="str">
        <x:v>What is your main nutrition goal?</x:v>
      </x:c>
      <x:c r="G15" s="159" t="str">
        <x:v>Unscored profile</x:v>
      </x:c>
      <x:c r="H15" s="159" t="str">
        <x:v>Required</x:v>
      </x:c>
      <x:c r="I15" s="159" t="str">
        <x:v>Improve health</x:v>
      </x:c>
      <x:c r="J15" s="159" t="str">
        <x:v>improve-health</x:v>
      </x:c>
      <x:c r="K15" s="168"/>
      <x:c r="L15" s="165" t="str"/>
      <x:c r="M15" s="165" t="str"/>
      <x:c r="N15" s="165" t="str"/>
      <x:c r="O15" s="166" t="str"/>
      <x:c r="P15" s="165" t="str">
        <x:v>Keep</x:v>
      </x:c>
      <x:c r="Q15" s="165" t="str">
        <x:v>Not reviewed</x:v>
      </x:c>
      <x:c r="R15" s="165" t="str"/>
    </x:row>
    <x:row r="16" ht="42" customHeight="1">
      <x:c r="A16" s="159" t="str">
        <x:v>mainGoal|Weight management</x:v>
      </x:c>
      <x:c r="B16" s="148" t="n">
        <x:v>1</x:v>
      </x:c>
      <x:c r="C16" s="159" t="str">
        <x:v>basics</x:v>
      </x:c>
      <x:c r="D16" s="159" t="str">
        <x:v>Basic information</x:v>
      </x:c>
      <x:c r="E16" s="159" t="str">
        <x:v>mainGoal</x:v>
      </x:c>
      <x:c r="F16" s="159" t="str">
        <x:v>What is your main nutrition goal?</x:v>
      </x:c>
      <x:c r="G16" s="159" t="str">
        <x:v>Unscored profile</x:v>
      </x:c>
      <x:c r="H16" s="159" t="str">
        <x:v>Required</x:v>
      </x:c>
      <x:c r="I16" s="159" t="str">
        <x:v>Weight management</x:v>
      </x:c>
      <x:c r="J16" s="159" t="str">
        <x:v>weight-management</x:v>
      </x:c>
      <x:c r="K16" s="168"/>
      <x:c r="L16" s="165" t="str"/>
      <x:c r="M16" s="165" t="str"/>
      <x:c r="N16" s="165" t="str"/>
      <x:c r="O16" s="166" t="str"/>
      <x:c r="P16" s="165" t="str">
        <x:v>Keep</x:v>
      </x:c>
      <x:c r="Q16" s="165" t="str">
        <x:v>Not reviewed</x:v>
      </x:c>
      <x:c r="R16" s="165" t="str"/>
    </x:row>
    <x:row r="17" ht="42" customHeight="1">
      <x:c r="A17" s="159" t="str">
        <x:v>mainGoal|Sports performance</x:v>
      </x:c>
      <x:c r="B17" s="148" t="n">
        <x:v>1</x:v>
      </x:c>
      <x:c r="C17" s="159" t="str">
        <x:v>basics</x:v>
      </x:c>
      <x:c r="D17" s="159" t="str">
        <x:v>Basic information</x:v>
      </x:c>
      <x:c r="E17" s="159" t="str">
        <x:v>mainGoal</x:v>
      </x:c>
      <x:c r="F17" s="159" t="str">
        <x:v>What is your main nutrition goal?</x:v>
      </x:c>
      <x:c r="G17" s="159" t="str">
        <x:v>Unscored profile</x:v>
      </x:c>
      <x:c r="H17" s="159" t="str">
        <x:v>Required</x:v>
      </x:c>
      <x:c r="I17" s="159" t="str">
        <x:v>Sports performance</x:v>
      </x:c>
      <x:c r="J17" s="159" t="str">
        <x:v>sports-performance</x:v>
      </x:c>
      <x:c r="K17" s="168"/>
      <x:c r="L17" s="165" t="str"/>
      <x:c r="M17" s="165" t="str"/>
      <x:c r="N17" s="165" t="str"/>
      <x:c r="O17" s="166" t="str"/>
      <x:c r="P17" s="165" t="str">
        <x:v>Keep</x:v>
      </x:c>
      <x:c r="Q17" s="165" t="str">
        <x:v>Not reviewed</x:v>
      </x:c>
      <x:c r="R17" s="165" t="str"/>
    </x:row>
    <x:row r="18" ht="42" customHeight="1">
      <x:c r="A18" s="159" t="str">
        <x:v>mainGoal|Improve energy levels</x:v>
      </x:c>
      <x:c r="B18" s="148" t="n">
        <x:v>1</x:v>
      </x:c>
      <x:c r="C18" s="159" t="str">
        <x:v>basics</x:v>
      </x:c>
      <x:c r="D18" s="159" t="str">
        <x:v>Basic information</x:v>
      </x:c>
      <x:c r="E18" s="159" t="str">
        <x:v>mainGoal</x:v>
      </x:c>
      <x:c r="F18" s="159" t="str">
        <x:v>What is your main nutrition goal?</x:v>
      </x:c>
      <x:c r="G18" s="159" t="str">
        <x:v>Unscored profile</x:v>
      </x:c>
      <x:c r="H18" s="159" t="str">
        <x:v>Required</x:v>
      </x:c>
      <x:c r="I18" s="159" t="str">
        <x:v>Improve energy levels</x:v>
      </x:c>
      <x:c r="J18" s="159" t="str">
        <x:v>energy</x:v>
      </x:c>
      <x:c r="K18" s="168"/>
      <x:c r="L18" s="165" t="str"/>
      <x:c r="M18" s="165" t="str"/>
      <x:c r="N18" s="165" t="str"/>
      <x:c r="O18" s="166" t="str"/>
      <x:c r="P18" s="165" t="str">
        <x:v>Keep</x:v>
      </x:c>
      <x:c r="Q18" s="165" t="str">
        <x:v>Not reviewed</x:v>
      </x:c>
      <x:c r="R18" s="165" t="str"/>
    </x:row>
    <x:row r="19" ht="42" customHeight="1">
      <x:c r="A19" s="159" t="str">
        <x:v>mainGoal|General wellbeing</x:v>
      </x:c>
      <x:c r="B19" s="148" t="n">
        <x:v>1</x:v>
      </x:c>
      <x:c r="C19" s="159" t="str">
        <x:v>basics</x:v>
      </x:c>
      <x:c r="D19" s="159" t="str">
        <x:v>Basic information</x:v>
      </x:c>
      <x:c r="E19" s="159" t="str">
        <x:v>mainGoal</x:v>
      </x:c>
      <x:c r="F19" s="159" t="str">
        <x:v>What is your main nutrition goal?</x:v>
      </x:c>
      <x:c r="G19" s="159" t="str">
        <x:v>Unscored profile</x:v>
      </x:c>
      <x:c r="H19" s="159" t="str">
        <x:v>Required</x:v>
      </x:c>
      <x:c r="I19" s="159" t="str">
        <x:v>General wellbeing</x:v>
      </x:c>
      <x:c r="J19" s="159" t="str">
        <x:v>wellbeing</x:v>
      </x:c>
      <x:c r="K19" s="168"/>
      <x:c r="L19" s="165" t="str"/>
      <x:c r="M19" s="165" t="str"/>
      <x:c r="N19" s="165" t="str"/>
      <x:c r="O19" s="166" t="str"/>
      <x:c r="P19" s="165" t="str">
        <x:v>Keep</x:v>
      </x:c>
      <x:c r="Q19" s="165" t="str">
        <x:v>Not reviewed</x:v>
      </x:c>
      <x:c r="R19" s="165" t="str"/>
    </x:row>
    <x:row r="20" ht="42" customHeight="1">
      <x:c r="A20" s="159" t="str">
        <x:v>fruitPortions|None</x:v>
      </x:c>
      <x:c r="B20" s="148" t="n">
        <x:v>2</x:v>
      </x:c>
      <x:c r="C20" s="159" t="str">
        <x:v>fruit-vegetables</x:v>
      </x:c>
      <x:c r="D20" s="159" t="str">
        <x:v>Fruit and vegetable intake</x:v>
      </x:c>
      <x:c r="E20" s="159" t="str">
        <x:v>fruitPortions</x:v>
      </x:c>
      <x:c r="F20" s="159" t="str">
        <x:v>How many portions of fruit do you eat on a typical day?</x:v>
      </x:c>
      <x:c r="G20" s="159" t="str">
        <x:v>fruitVegetables</x:v>
      </x:c>
      <x:c r="H20" s="159" t="str">
        <x:v>Required</x:v>
      </x:c>
      <x:c r="I20" s="159" t="str">
        <x:v>None</x:v>
      </x:c>
      <x:c r="J20" s="159" t="str">
        <x:v>none</x:v>
      </x:c>
      <x:c r="K20" s="168" t="n">
        <x:v>0</x:v>
      </x:c>
      <x:c r="L20" s="165" t="str"/>
      <x:c r="M20" s="165" t="str"/>
      <x:c r="N20" s="165" t="str"/>
      <x:c r="O20" s="166" t="str"/>
      <x:c r="P20" s="165" t="str">
        <x:v>Keep</x:v>
      </x:c>
      <x:c r="Q20" s="165" t="str">
        <x:v>Not reviewed</x:v>
      </x:c>
      <x:c r="R20" s="165" t="str"/>
    </x:row>
    <x:row r="21" ht="42" customHeight="1">
      <x:c r="A21" s="159" t="str">
        <x:v>fruitPortions|1 portion</x:v>
      </x:c>
      <x:c r="B21" s="148" t="n">
        <x:v>2</x:v>
      </x:c>
      <x:c r="C21" s="159" t="str">
        <x:v>fruit-vegetables</x:v>
      </x:c>
      <x:c r="D21" s="159" t="str">
        <x:v>Fruit and vegetable intake</x:v>
      </x:c>
      <x:c r="E21" s="159" t="str">
        <x:v>fruitPortions</x:v>
      </x:c>
      <x:c r="F21" s="159" t="str">
        <x:v>How many portions of fruit do you eat on a typical day?</x:v>
      </x:c>
      <x:c r="G21" s="159" t="str">
        <x:v>fruitVegetables</x:v>
      </x:c>
      <x:c r="H21" s="159" t="str">
        <x:v>Required</x:v>
      </x:c>
      <x:c r="I21" s="159" t="str">
        <x:v>1 portion</x:v>
      </x:c>
      <x:c r="J21" s="159" t="str">
        <x:v>one</x:v>
      </x:c>
      <x:c r="K21" s="168" t="n">
        <x:v>35</x:v>
      </x:c>
      <x:c r="L21" s="165" t="str"/>
      <x:c r="M21" s="165" t="str"/>
      <x:c r="N21" s="165" t="str"/>
      <x:c r="O21" s="166" t="str"/>
      <x:c r="P21" s="165" t="str">
        <x:v>Keep</x:v>
      </x:c>
      <x:c r="Q21" s="165" t="str">
        <x:v>Not reviewed</x:v>
      </x:c>
      <x:c r="R21" s="165" t="str"/>
    </x:row>
    <x:row r="22" ht="42" customHeight="1">
      <x:c r="A22" s="159" t="str">
        <x:v>fruitPortions|2 portions</x:v>
      </x:c>
      <x:c r="B22" s="148" t="n">
        <x:v>2</x:v>
      </x:c>
      <x:c r="C22" s="159" t="str">
        <x:v>fruit-vegetables</x:v>
      </x:c>
      <x:c r="D22" s="159" t="str">
        <x:v>Fruit and vegetable intake</x:v>
      </x:c>
      <x:c r="E22" s="159" t="str">
        <x:v>fruitPortions</x:v>
      </x:c>
      <x:c r="F22" s="159" t="str">
        <x:v>How many portions of fruit do you eat on a typical day?</x:v>
      </x:c>
      <x:c r="G22" s="159" t="str">
        <x:v>fruitVegetables</x:v>
      </x:c>
      <x:c r="H22" s="159" t="str">
        <x:v>Required</x:v>
      </x:c>
      <x:c r="I22" s="159" t="str">
        <x:v>2 portions</x:v>
      </x:c>
      <x:c r="J22" s="159" t="str">
        <x:v>two</x:v>
      </x:c>
      <x:c r="K22" s="168" t="n">
        <x:v>80</x:v>
      </x:c>
      <x:c r="L22" s="165" t="str"/>
      <x:c r="M22" s="165" t="str"/>
      <x:c r="N22" s="165" t="str"/>
      <x:c r="O22" s="166" t="str"/>
      <x:c r="P22" s="165" t="str">
        <x:v>Keep</x:v>
      </x:c>
      <x:c r="Q22" s="165" t="str">
        <x:v>Not reviewed</x:v>
      </x:c>
      <x:c r="R22" s="165" t="str"/>
    </x:row>
    <x:row r="23" ht="42" customHeight="1">
      <x:c r="A23" s="159" t="str">
        <x:v>fruitPortions|3 or more portions</x:v>
      </x:c>
      <x:c r="B23" s="148" t="n">
        <x:v>2</x:v>
      </x:c>
      <x:c r="C23" s="159" t="str">
        <x:v>fruit-vegetables</x:v>
      </x:c>
      <x:c r="D23" s="159" t="str">
        <x:v>Fruit and vegetable intake</x:v>
      </x:c>
      <x:c r="E23" s="159" t="str">
        <x:v>fruitPortions</x:v>
      </x:c>
      <x:c r="F23" s="159" t="str">
        <x:v>How many portions of fruit do you eat on a typical day?</x:v>
      </x:c>
      <x:c r="G23" s="159" t="str">
        <x:v>fruitVegetables</x:v>
      </x:c>
      <x:c r="H23" s="159" t="str">
        <x:v>Required</x:v>
      </x:c>
      <x:c r="I23" s="159" t="str">
        <x:v>3 or more portions</x:v>
      </x:c>
      <x:c r="J23" s="159" t="str">
        <x:v>three-plus</x:v>
      </x:c>
      <x:c r="K23" s="168" t="n">
        <x:v>100</x:v>
      </x:c>
      <x:c r="L23" s="165" t="str"/>
      <x:c r="M23" s="165" t="str"/>
      <x:c r="N23" s="165" t="str"/>
      <x:c r="O23" s="166" t="str"/>
      <x:c r="P23" s="165" t="str">
        <x:v>Keep</x:v>
      </x:c>
      <x:c r="Q23" s="165" t="str">
        <x:v>Not reviewed</x:v>
      </x:c>
      <x:c r="R23" s="165" t="str"/>
    </x:row>
    <x:row r="24" ht="42" customHeight="1">
      <x:c r="A24" s="159" t="str">
        <x:v>vegetablePortions|None</x:v>
      </x:c>
      <x:c r="B24" s="148" t="n">
        <x:v>2</x:v>
      </x:c>
      <x:c r="C24" s="159" t="str">
        <x:v>fruit-vegetables</x:v>
      </x:c>
      <x:c r="D24" s="159" t="str">
        <x:v>Fruit and vegetable intake</x:v>
      </x:c>
      <x:c r="E24" s="159" t="str">
        <x:v>vegetablePortions</x:v>
      </x:c>
      <x:c r="F24" s="159" t="str">
        <x:v>How many portions of vegetables or salad do you eat on a typical day?</x:v>
      </x:c>
      <x:c r="G24" s="159" t="str">
        <x:v>fruitVegetables</x:v>
      </x:c>
      <x:c r="H24" s="159" t="str">
        <x:v>Required</x:v>
      </x:c>
      <x:c r="I24" s="159" t="str">
        <x:v>None</x:v>
      </x:c>
      <x:c r="J24" s="159" t="str">
        <x:v>none</x:v>
      </x:c>
      <x:c r="K24" s="168" t="n">
        <x:v>0</x:v>
      </x:c>
      <x:c r="L24" s="165" t="str"/>
      <x:c r="M24" s="165" t="str"/>
      <x:c r="N24" s="165" t="str"/>
      <x:c r="O24" s="166" t="str"/>
      <x:c r="P24" s="165" t="str">
        <x:v>Keep</x:v>
      </x:c>
      <x:c r="Q24" s="165" t="str">
        <x:v>Not reviewed</x:v>
      </x:c>
      <x:c r="R24" s="165" t="str"/>
    </x:row>
    <x:row r="25" ht="42" customHeight="1">
      <x:c r="A25" s="159" t="str">
        <x:v>vegetablePortions|1 portion</x:v>
      </x:c>
      <x:c r="B25" s="148" t="n">
        <x:v>2</x:v>
      </x:c>
      <x:c r="C25" s="159" t="str">
        <x:v>fruit-vegetables</x:v>
      </x:c>
      <x:c r="D25" s="159" t="str">
        <x:v>Fruit and vegetable intake</x:v>
      </x:c>
      <x:c r="E25" s="159" t="str">
        <x:v>vegetablePortions</x:v>
      </x:c>
      <x:c r="F25" s="159" t="str">
        <x:v>How many portions of vegetables or salad do you eat on a typical day?</x:v>
      </x:c>
      <x:c r="G25" s="159" t="str">
        <x:v>fruitVegetables</x:v>
      </x:c>
      <x:c r="H25" s="159" t="str">
        <x:v>Required</x:v>
      </x:c>
      <x:c r="I25" s="159" t="str">
        <x:v>1 portion</x:v>
      </x:c>
      <x:c r="J25" s="159" t="str">
        <x:v>one</x:v>
      </x:c>
      <x:c r="K25" s="168" t="n">
        <x:v>35</x:v>
      </x:c>
      <x:c r="L25" s="165" t="str"/>
      <x:c r="M25" s="165" t="str"/>
      <x:c r="N25" s="165" t="str"/>
      <x:c r="O25" s="166" t="str"/>
      <x:c r="P25" s="165" t="str">
        <x:v>Keep</x:v>
      </x:c>
      <x:c r="Q25" s="165" t="str">
        <x:v>Not reviewed</x:v>
      </x:c>
      <x:c r="R25" s="165" t="str"/>
    </x:row>
    <x:row r="26" ht="42" customHeight="1">
      <x:c r="A26" s="159" t="str">
        <x:v>vegetablePortions|2 portions</x:v>
      </x:c>
      <x:c r="B26" s="148" t="n">
        <x:v>2</x:v>
      </x:c>
      <x:c r="C26" s="159" t="str">
        <x:v>fruit-vegetables</x:v>
      </x:c>
      <x:c r="D26" s="159" t="str">
        <x:v>Fruit and vegetable intake</x:v>
      </x:c>
      <x:c r="E26" s="159" t="str">
        <x:v>vegetablePortions</x:v>
      </x:c>
      <x:c r="F26" s="159" t="str">
        <x:v>How many portions of vegetables or salad do you eat on a typical day?</x:v>
      </x:c>
      <x:c r="G26" s="159" t="str">
        <x:v>fruitVegetables</x:v>
      </x:c>
      <x:c r="H26" s="159" t="str">
        <x:v>Required</x:v>
      </x:c>
      <x:c r="I26" s="159" t="str">
        <x:v>2 portions</x:v>
      </x:c>
      <x:c r="J26" s="159" t="str">
        <x:v>two</x:v>
      </x:c>
      <x:c r="K26" s="168" t="n">
        <x:v>70</x:v>
      </x:c>
      <x:c r="L26" s="165" t="str"/>
      <x:c r="M26" s="165" t="str"/>
      <x:c r="N26" s="165" t="str"/>
      <x:c r="O26" s="166" t="str"/>
      <x:c r="P26" s="165" t="str">
        <x:v>Keep</x:v>
      </x:c>
      <x:c r="Q26" s="165" t="str">
        <x:v>Not reviewed</x:v>
      </x:c>
      <x:c r="R26" s="165" t="str"/>
    </x:row>
    <x:row r="27" ht="42" customHeight="1">
      <x:c r="A27" s="159" t="str">
        <x:v>vegetablePortions|3 or more portions</x:v>
      </x:c>
      <x:c r="B27" s="148" t="n">
        <x:v>2</x:v>
      </x:c>
      <x:c r="C27" s="159" t="str">
        <x:v>fruit-vegetables</x:v>
      </x:c>
      <x:c r="D27" s="159" t="str">
        <x:v>Fruit and vegetable intake</x:v>
      </x:c>
      <x:c r="E27" s="159" t="str">
        <x:v>vegetablePortions</x:v>
      </x:c>
      <x:c r="F27" s="159" t="str">
        <x:v>How many portions of vegetables or salad do you eat on a typical day?</x:v>
      </x:c>
      <x:c r="G27" s="159" t="str">
        <x:v>fruitVegetables</x:v>
      </x:c>
      <x:c r="H27" s="159" t="str">
        <x:v>Required</x:v>
      </x:c>
      <x:c r="I27" s="159" t="str">
        <x:v>3 or more portions</x:v>
      </x:c>
      <x:c r="J27" s="159" t="str">
        <x:v>three-plus</x:v>
      </x:c>
      <x:c r="K27" s="168" t="n">
        <x:v>100</x:v>
      </x:c>
      <x:c r="L27" s="165" t="str"/>
      <x:c r="M27" s="165" t="str"/>
      <x:c r="N27" s="165" t="str"/>
      <x:c r="O27" s="166" t="str"/>
      <x:c r="P27" s="165" t="str">
        <x:v>Keep</x:v>
      </x:c>
      <x:c r="Q27" s="165" t="str">
        <x:v>Not reviewed</x:v>
      </x:c>
      <x:c r="R27" s="165" t="str"/>
    </x:row>
    <x:row r="28" ht="42" customHeight="1">
      <x:c r="A28" s="159" t="str">
        <x:v>wholegrains|Rarely or never</x:v>
      </x:c>
      <x:c r="B28" s="148" t="n">
        <x:v>3</x:v>
      </x:c>
      <x:c r="C28" s="159" t="str">
        <x:v>fibre-wholegrains</x:v>
      </x:c>
      <x:c r="D28" s="159" t="str">
        <x:v>Fibre and wholegrains</x:v>
      </x:c>
      <x:c r="E28" s="159" t="str">
        <x:v>wholegrains</x:v>
      </x:c>
      <x:c r="F28" s="159" t="str">
        <x:v>How often do you eat wholegrain bread, oats, brown rice, or wholegrain pasta?</x:v>
      </x:c>
      <x:c r="G28" s="159" t="str">
        <x:v>fibre</x:v>
      </x:c>
      <x:c r="H28" s="159" t="str">
        <x:v>Required</x:v>
      </x:c>
      <x:c r="I28" s="159" t="str">
        <x:v>Rarely or never</x:v>
      </x:c>
      <x:c r="J28" s="159" t="str">
        <x:v>rarely</x:v>
      </x:c>
      <x:c r="K28" s="168" t="n">
        <x:v>10</x:v>
      </x:c>
      <x:c r="L28" s="165" t="str"/>
      <x:c r="M28" s="165" t="str"/>
      <x:c r="N28" s="165" t="str"/>
      <x:c r="O28" s="166" t="str"/>
      <x:c r="P28" s="165" t="str">
        <x:v>Keep</x:v>
      </x:c>
      <x:c r="Q28" s="165" t="str">
        <x:v>Not reviewed</x:v>
      </x:c>
      <x:c r="R28" s="165" t="str"/>
    </x:row>
    <x:row r="29" ht="42" customHeight="1">
      <x:c r="A29" s="159" t="str">
        <x:v>wholegrains|1-2 times per week</x:v>
      </x:c>
      <x:c r="B29" s="148" t="n">
        <x:v>3</x:v>
      </x:c>
      <x:c r="C29" s="159" t="str">
        <x:v>fibre-wholegrains</x:v>
      </x:c>
      <x:c r="D29" s="159" t="str">
        <x:v>Fibre and wholegrains</x:v>
      </x:c>
      <x:c r="E29" s="159" t="str">
        <x:v>wholegrains</x:v>
      </x:c>
      <x:c r="F29" s="159" t="str">
        <x:v>How often do you eat wholegrain bread, oats, brown rice, or wholegrain pasta?</x:v>
      </x:c>
      <x:c r="G29" s="159" t="str">
        <x:v>fibre</x:v>
      </x:c>
      <x:c r="H29" s="159" t="str">
        <x:v>Required</x:v>
      </x:c>
      <x:c r="I29" s="159" t="str">
        <x:v>1-2 times per week</x:v>
      </x:c>
      <x:c r="J29" s="159" t="str">
        <x:v>weekly</x:v>
      </x:c>
      <x:c r="K29" s="168" t="n">
        <x:v>40</x:v>
      </x:c>
      <x:c r="L29" s="165" t="str"/>
      <x:c r="M29" s="165" t="str"/>
      <x:c r="N29" s="165" t="str"/>
      <x:c r="O29" s="166" t="str"/>
      <x:c r="P29" s="165" t="str">
        <x:v>Keep</x:v>
      </x:c>
      <x:c r="Q29" s="165" t="str">
        <x:v>Not reviewed</x:v>
      </x:c>
      <x:c r="R29" s="165" t="str"/>
    </x:row>
    <x:row r="30" ht="42" customHeight="1">
      <x:c r="A30" s="159" t="str">
        <x:v>wholegrains|Most days</x:v>
      </x:c>
      <x:c r="B30" s="148" t="n">
        <x:v>3</x:v>
      </x:c>
      <x:c r="C30" s="159" t="str">
        <x:v>fibre-wholegrains</x:v>
      </x:c>
      <x:c r="D30" s="159" t="str">
        <x:v>Fibre and wholegrains</x:v>
      </x:c>
      <x:c r="E30" s="159" t="str">
        <x:v>wholegrains</x:v>
      </x:c>
      <x:c r="F30" s="159" t="str">
        <x:v>How often do you eat wholegrain bread, oats, brown rice, or wholegrain pasta?</x:v>
      </x:c>
      <x:c r="G30" s="159" t="str">
        <x:v>fibre</x:v>
      </x:c>
      <x:c r="H30" s="159" t="str">
        <x:v>Required</x:v>
      </x:c>
      <x:c r="I30" s="159" t="str">
        <x:v>Most days</x:v>
      </x:c>
      <x:c r="J30" s="159" t="str">
        <x:v>most-days</x:v>
      </x:c>
      <x:c r="K30" s="168" t="n">
        <x:v>80</x:v>
      </x:c>
      <x:c r="L30" s="165" t="str"/>
      <x:c r="M30" s="165" t="str"/>
      <x:c r="N30" s="165" t="str"/>
      <x:c r="O30" s="166" t="str"/>
      <x:c r="P30" s="165" t="str">
        <x:v>Keep</x:v>
      </x:c>
      <x:c r="Q30" s="165" t="str">
        <x:v>Not reviewed</x:v>
      </x:c>
      <x:c r="R30" s="165" t="str"/>
    </x:row>
    <x:row r="31" ht="42" customHeight="1">
      <x:c r="A31" s="159" t="str">
        <x:v>wholegrains|Daily</x:v>
      </x:c>
      <x:c r="B31" s="148" t="n">
        <x:v>3</x:v>
      </x:c>
      <x:c r="C31" s="159" t="str">
        <x:v>fibre-wholegrains</x:v>
      </x:c>
      <x:c r="D31" s="159" t="str">
        <x:v>Fibre and wholegrains</x:v>
      </x:c>
      <x:c r="E31" s="159" t="str">
        <x:v>wholegrains</x:v>
      </x:c>
      <x:c r="F31" s="159" t="str">
        <x:v>How often do you eat wholegrain bread, oats, brown rice, or wholegrain pasta?</x:v>
      </x:c>
      <x:c r="G31" s="159" t="str">
        <x:v>fibre</x:v>
      </x:c>
      <x:c r="H31" s="159" t="str">
        <x:v>Required</x:v>
      </x:c>
      <x:c r="I31" s="159" t="str">
        <x:v>Daily</x:v>
      </x:c>
      <x:c r="J31" s="159" t="str">
        <x:v>daily</x:v>
      </x:c>
      <x:c r="K31" s="168" t="n">
        <x:v>100</x:v>
      </x:c>
      <x:c r="L31" s="165" t="str"/>
      <x:c r="M31" s="165" t="str"/>
      <x:c r="N31" s="165" t="str"/>
      <x:c r="O31" s="166" t="str"/>
      <x:c r="P31" s="165" t="str">
        <x:v>Keep</x:v>
      </x:c>
      <x:c r="Q31" s="165" t="str">
        <x:v>Not reviewed</x:v>
      </x:c>
      <x:c r="R31" s="165" t="str"/>
    </x:row>
    <x:row r="32" ht="42" customHeight="1">
      <x:c r="A32" s="159" t="str">
        <x:v>legumes|Rarely or never</x:v>
      </x:c>
      <x:c r="B32" s="148" t="n">
        <x:v>3</x:v>
      </x:c>
      <x:c r="C32" s="159" t="str">
        <x:v>fibre-wholegrains</x:v>
      </x:c>
      <x:c r="D32" s="159" t="str">
        <x:v>Fibre and wholegrains</x:v>
      </x:c>
      <x:c r="E32" s="159" t="str">
        <x:v>legumes</x:v>
      </x:c>
      <x:c r="F32" s="159" t="str">
        <x:v>How often do you eat beans, lentils, chickpeas, or other legumes?</x:v>
      </x:c>
      <x:c r="G32" s="159" t="str">
        <x:v>fibre</x:v>
      </x:c>
      <x:c r="H32" s="159" t="str">
        <x:v>Required</x:v>
      </x:c>
      <x:c r="I32" s="159" t="str">
        <x:v>Rarely or never</x:v>
      </x:c>
      <x:c r="J32" s="159" t="str">
        <x:v>rarely</x:v>
      </x:c>
      <x:c r="K32" s="168" t="n">
        <x:v>10</x:v>
      </x:c>
      <x:c r="L32" s="165" t="str"/>
      <x:c r="M32" s="165" t="str"/>
      <x:c r="N32" s="165" t="str"/>
      <x:c r="O32" s="166" t="str"/>
      <x:c r="P32" s="165" t="str">
        <x:v>Keep</x:v>
      </x:c>
      <x:c r="Q32" s="165" t="str">
        <x:v>Not reviewed</x:v>
      </x:c>
      <x:c r="R32" s="165" t="str"/>
    </x:row>
    <x:row r="33" ht="42" customHeight="1">
      <x:c r="A33" s="159" t="str">
        <x:v>legumes|1-2 times per month</x:v>
      </x:c>
      <x:c r="B33" s="148" t="n">
        <x:v>3</x:v>
      </x:c>
      <x:c r="C33" s="159" t="str">
        <x:v>fibre-wholegrains</x:v>
      </x:c>
      <x:c r="D33" s="159" t="str">
        <x:v>Fibre and wholegrains</x:v>
      </x:c>
      <x:c r="E33" s="159" t="str">
        <x:v>legumes</x:v>
      </x:c>
      <x:c r="F33" s="159" t="str">
        <x:v>How often do you eat beans, lentils, chickpeas, or other legumes?</x:v>
      </x:c>
      <x:c r="G33" s="159" t="str">
        <x:v>fibre</x:v>
      </x:c>
      <x:c r="H33" s="159" t="str">
        <x:v>Required</x:v>
      </x:c>
      <x:c r="I33" s="159" t="str">
        <x:v>1-2 times per month</x:v>
      </x:c>
      <x:c r="J33" s="159" t="str">
        <x:v>monthly</x:v>
      </x:c>
      <x:c r="K33" s="168" t="n">
        <x:v>35</x:v>
      </x:c>
      <x:c r="L33" s="165" t="str"/>
      <x:c r="M33" s="165" t="str"/>
      <x:c r="N33" s="165" t="str"/>
      <x:c r="O33" s="166" t="str"/>
      <x:c r="P33" s="165" t="str">
        <x:v>Keep</x:v>
      </x:c>
      <x:c r="Q33" s="165" t="str">
        <x:v>Not reviewed</x:v>
      </x:c>
      <x:c r="R33" s="165" t="str"/>
    </x:row>
    <x:row r="34" ht="42" customHeight="1">
      <x:c r="A34" s="159" t="str">
        <x:v>legumes|1-2 times per week</x:v>
      </x:c>
      <x:c r="B34" s="148" t="n">
        <x:v>3</x:v>
      </x:c>
      <x:c r="C34" s="159" t="str">
        <x:v>fibre-wholegrains</x:v>
      </x:c>
      <x:c r="D34" s="159" t="str">
        <x:v>Fibre and wholegrains</x:v>
      </x:c>
      <x:c r="E34" s="159" t="str">
        <x:v>legumes</x:v>
      </x:c>
      <x:c r="F34" s="159" t="str">
        <x:v>How often do you eat beans, lentils, chickpeas, or other legumes?</x:v>
      </x:c>
      <x:c r="G34" s="159" t="str">
        <x:v>fibre</x:v>
      </x:c>
      <x:c r="H34" s="159" t="str">
        <x:v>Required</x:v>
      </x:c>
      <x:c r="I34" s="159" t="str">
        <x:v>1-2 times per week</x:v>
      </x:c>
      <x:c r="J34" s="159" t="str">
        <x:v>weekly</x:v>
      </x:c>
      <x:c r="K34" s="168" t="n">
        <x:v>70</x:v>
      </x:c>
      <x:c r="L34" s="165" t="str"/>
      <x:c r="M34" s="165" t="str"/>
      <x:c r="N34" s="165" t="str"/>
      <x:c r="O34" s="166" t="str"/>
      <x:c r="P34" s="165" t="str">
        <x:v>Keep</x:v>
      </x:c>
      <x:c r="Q34" s="165" t="str">
        <x:v>Not reviewed</x:v>
      </x:c>
      <x:c r="R34" s="165" t="str"/>
    </x:row>
    <x:row r="35" ht="42" customHeight="1">
      <x:c r="A35" s="159" t="str">
        <x:v>legumes|3 or more times per week</x:v>
      </x:c>
      <x:c r="B35" s="148" t="n">
        <x:v>3</x:v>
      </x:c>
      <x:c r="C35" s="159" t="str">
        <x:v>fibre-wholegrains</x:v>
      </x:c>
      <x:c r="D35" s="159" t="str">
        <x:v>Fibre and wholegrains</x:v>
      </x:c>
      <x:c r="E35" s="159" t="str">
        <x:v>legumes</x:v>
      </x:c>
      <x:c r="F35" s="159" t="str">
        <x:v>How often do you eat beans, lentils, chickpeas, or other legumes?</x:v>
      </x:c>
      <x:c r="G35" s="159" t="str">
        <x:v>fibre</x:v>
      </x:c>
      <x:c r="H35" s="159" t="str">
        <x:v>Required</x:v>
      </x:c>
      <x:c r="I35" s="159" t="str">
        <x:v>3 or more times per week</x:v>
      </x:c>
      <x:c r="J35" s="159" t="str">
        <x:v>often</x:v>
      </x:c>
      <x:c r="K35" s="168" t="n">
        <x:v>100</x:v>
      </x:c>
      <x:c r="L35" s="165" t="str"/>
      <x:c r="M35" s="165" t="str"/>
      <x:c r="N35" s="165" t="str"/>
      <x:c r="O35" s="166" t="str"/>
      <x:c r="P35" s="165" t="str">
        <x:v>Keep</x:v>
      </x:c>
      <x:c r="Q35" s="165" t="str">
        <x:v>Not reviewed</x:v>
      </x:c>
      <x:c r="R35" s="165" t="str"/>
    </x:row>
    <x:row r="36" ht="42" customHeight="1">
      <x:c r="A36" s="159" t="str">
        <x:v>proteinFrequency|Less than once daily</x:v>
      </x:c>
      <x:c r="B36" s="148" t="n">
        <x:v>4</x:v>
      </x:c>
      <x:c r="C36" s="159" t="str">
        <x:v>protein</x:v>
      </x:c>
      <x:c r="D36" s="159" t="str">
        <x:v>Protein habits</x:v>
      </x:c>
      <x:c r="E36" s="159" t="str">
        <x:v>proteinFrequency</x:v>
      </x:c>
      <x:c r="F36" s="159" t="str">
        <x:v>How often do you consume protein-rich foods such as fish, eggs, dairy, tofu, beans, pulses, poultry, or lean meat?</x:v>
      </x:c>
      <x:c r="G36" s="159" t="str">
        <x:v>protein</x:v>
      </x:c>
      <x:c r="H36" s="159" t="str">
        <x:v>Required</x:v>
      </x:c>
      <x:c r="I36" s="159" t="str">
        <x:v>Less than once daily</x:v>
      </x:c>
      <x:c r="J36" s="159" t="str">
        <x:v>low</x:v>
      </x:c>
      <x:c r="K36" s="168" t="n">
        <x:v>25</x:v>
      </x:c>
      <x:c r="L36" s="165" t="str"/>
      <x:c r="M36" s="165" t="str"/>
      <x:c r="N36" s="165" t="str"/>
      <x:c r="O36" s="166" t="str"/>
      <x:c r="P36" s="165" t="str">
        <x:v>Keep</x:v>
      </x:c>
      <x:c r="Q36" s="165" t="str">
        <x:v>Not reviewed</x:v>
      </x:c>
      <x:c r="R36" s="165" t="str"/>
    </x:row>
    <x:row r="37" ht="42" customHeight="1">
      <x:c r="A37" s="159" t="str">
        <x:v>proteinFrequency|Once daily</x:v>
      </x:c>
      <x:c r="B37" s="148" t="n">
        <x:v>4</x:v>
      </x:c>
      <x:c r="C37" s="159" t="str">
        <x:v>protein</x:v>
      </x:c>
      <x:c r="D37" s="159" t="str">
        <x:v>Protein habits</x:v>
      </x:c>
      <x:c r="E37" s="159" t="str">
        <x:v>proteinFrequency</x:v>
      </x:c>
      <x:c r="F37" s="159" t="str">
        <x:v>How often do you consume protein-rich foods such as fish, eggs, dairy, tofu, beans, pulses, poultry, or lean meat?</x:v>
      </x:c>
      <x:c r="G37" s="159" t="str">
        <x:v>protein</x:v>
      </x:c>
      <x:c r="H37" s="159" t="str">
        <x:v>Required</x:v>
      </x:c>
      <x:c r="I37" s="159" t="str">
        <x:v>Once daily</x:v>
      </x:c>
      <x:c r="J37" s="159" t="str">
        <x:v>once</x:v>
      </x:c>
      <x:c r="K37" s="168" t="n">
        <x:v>60</x:v>
      </x:c>
      <x:c r="L37" s="165" t="str"/>
      <x:c r="M37" s="165" t="str"/>
      <x:c r="N37" s="165" t="str"/>
      <x:c r="O37" s="166" t="str"/>
      <x:c r="P37" s="165" t="str">
        <x:v>Keep</x:v>
      </x:c>
      <x:c r="Q37" s="165" t="str">
        <x:v>Not reviewed</x:v>
      </x:c>
      <x:c r="R37" s="165" t="str"/>
    </x:row>
    <x:row r="38" ht="42" customHeight="1">
      <x:c r="A38" s="159" t="str">
        <x:v>proteinFrequency|Twice daily</x:v>
      </x:c>
      <x:c r="B38" s="148" t="n">
        <x:v>4</x:v>
      </x:c>
      <x:c r="C38" s="159" t="str">
        <x:v>protein</x:v>
      </x:c>
      <x:c r="D38" s="159" t="str">
        <x:v>Protein habits</x:v>
      </x:c>
      <x:c r="E38" s="159" t="str">
        <x:v>proteinFrequency</x:v>
      </x:c>
      <x:c r="F38" s="159" t="str">
        <x:v>How often do you consume protein-rich foods such as fish, eggs, dairy, tofu, beans, pulses, poultry, or lean meat?</x:v>
      </x:c>
      <x:c r="G38" s="159" t="str">
        <x:v>protein</x:v>
      </x:c>
      <x:c r="H38" s="159" t="str">
        <x:v>Required</x:v>
      </x:c>
      <x:c r="I38" s="159" t="str">
        <x:v>Twice daily</x:v>
      </x:c>
      <x:c r="J38" s="159" t="str">
        <x:v>twice</x:v>
      </x:c>
      <x:c r="K38" s="168" t="n">
        <x:v>85</x:v>
      </x:c>
      <x:c r="L38" s="165" t="str"/>
      <x:c r="M38" s="165" t="str"/>
      <x:c r="N38" s="165" t="str"/>
      <x:c r="O38" s="166" t="str"/>
      <x:c r="P38" s="165" t="str">
        <x:v>Keep</x:v>
      </x:c>
      <x:c r="Q38" s="165" t="str">
        <x:v>Not reviewed</x:v>
      </x:c>
      <x:c r="R38" s="165" t="str"/>
    </x:row>
    <x:row r="39" ht="42" customHeight="1">
      <x:c r="A39" s="159" t="str">
        <x:v>proteinFrequency|With most meals</x:v>
      </x:c>
      <x:c r="B39" s="148" t="n">
        <x:v>4</x:v>
      </x:c>
      <x:c r="C39" s="159" t="str">
        <x:v>protein</x:v>
      </x:c>
      <x:c r="D39" s="159" t="str">
        <x:v>Protein habits</x:v>
      </x:c>
      <x:c r="E39" s="159" t="str">
        <x:v>proteinFrequency</x:v>
      </x:c>
      <x:c r="F39" s="159" t="str">
        <x:v>How often do you consume protein-rich foods such as fish, eggs, dairy, tofu, beans, pulses, poultry, or lean meat?</x:v>
      </x:c>
      <x:c r="G39" s="159" t="str">
        <x:v>protein</x:v>
      </x:c>
      <x:c r="H39" s="159" t="str">
        <x:v>Required</x:v>
      </x:c>
      <x:c r="I39" s="159" t="str">
        <x:v>With most meals</x:v>
      </x:c>
      <x:c r="J39" s="159" t="str">
        <x:v>most-meals</x:v>
      </x:c>
      <x:c r="K39" s="168" t="n">
        <x:v>100</x:v>
      </x:c>
      <x:c r="L39" s="165" t="str"/>
      <x:c r="M39" s="165" t="str"/>
      <x:c r="N39" s="165" t="str"/>
      <x:c r="O39" s="166" t="str"/>
      <x:c r="P39" s="165" t="str">
        <x:v>Keep</x:v>
      </x:c>
      <x:c r="Q39" s="165" t="str">
        <x:v>Not reviewed</x:v>
      </x:c>
      <x:c r="R39" s="165" t="str"/>
    </x:row>
    <x:row r="40" ht="42" customHeight="1">
      <x:c r="A40" s="159" t="str">
        <x:v>proteinMeals|Rarely</x:v>
      </x:c>
      <x:c r="B40" s="148" t="n">
        <x:v>4</x:v>
      </x:c>
      <x:c r="C40" s="159" t="str">
        <x:v>protein</x:v>
      </x:c>
      <x:c r="D40" s="159" t="str">
        <x:v>Protein habits</x:v>
      </x:c>
      <x:c r="E40" s="159" t="str">
        <x:v>proteinMeals</x:v>
      </x:c>
      <x:c r="F40" s="159" t="str">
        <x:v>Do most of your meals contain a source of protein?</x:v>
      </x:c>
      <x:c r="G40" s="159" t="str">
        <x:v>protein</x:v>
      </x:c>
      <x:c r="H40" s="159" t="str">
        <x:v>Required</x:v>
      </x:c>
      <x:c r="I40" s="159" t="str">
        <x:v>Rarely</x:v>
      </x:c>
      <x:c r="J40" s="159" t="str">
        <x:v>rarely</x:v>
      </x:c>
      <x:c r="K40" s="168" t="n">
        <x:v>15</x:v>
      </x:c>
      <x:c r="L40" s="165" t="str"/>
      <x:c r="M40" s="165" t="str"/>
      <x:c r="N40" s="165" t="str"/>
      <x:c r="O40" s="166" t="str"/>
      <x:c r="P40" s="165" t="str">
        <x:v>Keep</x:v>
      </x:c>
      <x:c r="Q40" s="165" t="str">
        <x:v>Not reviewed</x:v>
      </x:c>
      <x:c r="R40" s="165" t="str"/>
    </x:row>
    <x:row r="41" ht="42" customHeight="1">
      <x:c r="A41" s="159" t="str">
        <x:v>proteinMeals|Sometimes</x:v>
      </x:c>
      <x:c r="B41" s="148" t="n">
        <x:v>4</x:v>
      </x:c>
      <x:c r="C41" s="159" t="str">
        <x:v>protein</x:v>
      </x:c>
      <x:c r="D41" s="159" t="str">
        <x:v>Protein habits</x:v>
      </x:c>
      <x:c r="E41" s="159" t="str">
        <x:v>proteinMeals</x:v>
      </x:c>
      <x:c r="F41" s="159" t="str">
        <x:v>Do most of your meals contain a source of protein?</x:v>
      </x:c>
      <x:c r="G41" s="159" t="str">
        <x:v>protein</x:v>
      </x:c>
      <x:c r="H41" s="159" t="str">
        <x:v>Required</x:v>
      </x:c>
      <x:c r="I41" s="159" t="str">
        <x:v>Sometimes</x:v>
      </x:c>
      <x:c r="J41" s="159" t="str">
        <x:v>sometimes</x:v>
      </x:c>
      <x:c r="K41" s="168" t="n">
        <x:v>50</x:v>
      </x:c>
      <x:c r="L41" s="165" t="str"/>
      <x:c r="M41" s="165" t="str"/>
      <x:c r="N41" s="165" t="str"/>
      <x:c r="O41" s="166" t="str"/>
      <x:c r="P41" s="165" t="str">
        <x:v>Keep</x:v>
      </x:c>
      <x:c r="Q41" s="165" t="str">
        <x:v>Not reviewed</x:v>
      </x:c>
      <x:c r="R41" s="165" t="str"/>
    </x:row>
    <x:row r="42" ht="42" customHeight="1">
      <x:c r="A42" s="159" t="str">
        <x:v>proteinMeals|Often</x:v>
      </x:c>
      <x:c r="B42" s="148" t="n">
        <x:v>4</x:v>
      </x:c>
      <x:c r="C42" s="159" t="str">
        <x:v>protein</x:v>
      </x:c>
      <x:c r="D42" s="159" t="str">
        <x:v>Protein habits</x:v>
      </x:c>
      <x:c r="E42" s="159" t="str">
        <x:v>proteinMeals</x:v>
      </x:c>
      <x:c r="F42" s="159" t="str">
        <x:v>Do most of your meals contain a source of protein?</x:v>
      </x:c>
      <x:c r="G42" s="159" t="str">
        <x:v>protein</x:v>
      </x:c>
      <x:c r="H42" s="159" t="str">
        <x:v>Required</x:v>
      </x:c>
      <x:c r="I42" s="159" t="str">
        <x:v>Often</x:v>
      </x:c>
      <x:c r="J42" s="159" t="str">
        <x:v>often</x:v>
      </x:c>
      <x:c r="K42" s="168" t="n">
        <x:v>80</x:v>
      </x:c>
      <x:c r="L42" s="165" t="str"/>
      <x:c r="M42" s="165" t="str"/>
      <x:c r="N42" s="165" t="str"/>
      <x:c r="O42" s="166" t="str"/>
      <x:c r="P42" s="165" t="str">
        <x:v>Keep</x:v>
      </x:c>
      <x:c r="Q42" s="165" t="str">
        <x:v>Not reviewed</x:v>
      </x:c>
      <x:c r="R42" s="165" t="str"/>
    </x:row>
    <x:row r="43" ht="42" customHeight="1">
      <x:c r="A43" s="159" t="str">
        <x:v>proteinMeals|Almost always</x:v>
      </x:c>
      <x:c r="B43" s="148" t="n">
        <x:v>4</x:v>
      </x:c>
      <x:c r="C43" s="159" t="str">
        <x:v>protein</x:v>
      </x:c>
      <x:c r="D43" s="159" t="str">
        <x:v>Protein habits</x:v>
      </x:c>
      <x:c r="E43" s="159" t="str">
        <x:v>proteinMeals</x:v>
      </x:c>
      <x:c r="F43" s="159" t="str">
        <x:v>Do most of your meals contain a source of protein?</x:v>
      </x:c>
      <x:c r="G43" s="159" t="str">
        <x:v>protein</x:v>
      </x:c>
      <x:c r="H43" s="159" t="str">
        <x:v>Required</x:v>
      </x:c>
      <x:c r="I43" s="159" t="str">
        <x:v>Almost always</x:v>
      </x:c>
      <x:c r="J43" s="159" t="str">
        <x:v>always</x:v>
      </x:c>
      <x:c r="K43" s="168" t="n">
        <x:v>100</x:v>
      </x:c>
      <x:c r="L43" s="165" t="str"/>
      <x:c r="M43" s="165" t="str"/>
      <x:c r="N43" s="165" t="str"/>
      <x:c r="O43" s="166" t="str"/>
      <x:c r="P43" s="165" t="str">
        <x:v>Keep</x:v>
      </x:c>
      <x:c r="Q43" s="165" t="str">
        <x:v>Not reviewed</x:v>
      </x:c>
      <x:c r="R43" s="165" t="str"/>
    </x:row>
    <x:row r="44" ht="42" customHeight="1">
      <x:c r="A44" s="159" t="str">
        <x:v>fluidIntake|Less than 1 litre</x:v>
      </x:c>
      <x:c r="B44" s="148" t="n">
        <x:v>5</x:v>
      </x:c>
      <x:c r="C44" s="159" t="str">
        <x:v>hydration</x:v>
      </x:c>
      <x:c r="D44" s="159" t="str">
        <x:v>Hydration</x:v>
      </x:c>
      <x:c r="E44" s="159" t="str">
        <x:v>fluidIntake</x:v>
      </x:c>
      <x:c r="F44" s="159" t="str">
        <x:v>How much fluid do you drink daily?</x:v>
      </x:c>
      <x:c r="G44" s="159" t="str">
        <x:v>hydration</x:v>
      </x:c>
      <x:c r="H44" s="159" t="str">
        <x:v>Required</x:v>
      </x:c>
      <x:c r="I44" s="159" t="str">
        <x:v>Less than 1 litre</x:v>
      </x:c>
      <x:c r="J44" s="159" t="str">
        <x:v>under-one</x:v>
      </x:c>
      <x:c r="K44" s="168" t="n">
        <x:v>25</x:v>
      </x:c>
      <x:c r="L44" s="165" t="str"/>
      <x:c r="M44" s="165" t="str"/>
      <x:c r="N44" s="165" t="str"/>
      <x:c r="O44" s="166" t="str"/>
      <x:c r="P44" s="165" t="str">
        <x:v>Keep</x:v>
      </x:c>
      <x:c r="Q44" s="165" t="str">
        <x:v>Not reviewed</x:v>
      </x:c>
      <x:c r="R44" s="165" t="str"/>
    </x:row>
    <x:row r="45" ht="42" customHeight="1">
      <x:c r="A45" s="159" t="str">
        <x:v>fluidIntake|1-1.5 litres</x:v>
      </x:c>
      <x:c r="B45" s="148" t="n">
        <x:v>5</x:v>
      </x:c>
      <x:c r="C45" s="159" t="str">
        <x:v>hydration</x:v>
      </x:c>
      <x:c r="D45" s="159" t="str">
        <x:v>Hydration</x:v>
      </x:c>
      <x:c r="E45" s="159" t="str">
        <x:v>fluidIntake</x:v>
      </x:c>
      <x:c r="F45" s="159" t="str">
        <x:v>How much fluid do you drink daily?</x:v>
      </x:c>
      <x:c r="G45" s="159" t="str">
        <x:v>hydration</x:v>
      </x:c>
      <x:c r="H45" s="159" t="str">
        <x:v>Required</x:v>
      </x:c>
      <x:c r="I45" s="159" t="str">
        <x:v>1-1.5 litres</x:v>
      </x:c>
      <x:c r="J45" s="159" t="str">
        <x:v>one-to-one-half</x:v>
      </x:c>
      <x:c r="K45" s="168" t="n">
        <x:v>65</x:v>
      </x:c>
      <x:c r="L45" s="165" t="str"/>
      <x:c r="M45" s="165" t="str"/>
      <x:c r="N45" s="165" t="str"/>
      <x:c r="O45" s="166" t="str"/>
      <x:c r="P45" s="165" t="str">
        <x:v>Keep</x:v>
      </x:c>
      <x:c r="Q45" s="165" t="str">
        <x:v>Not reviewed</x:v>
      </x:c>
      <x:c r="R45" s="165" t="str"/>
    </x:row>
    <x:row r="46" ht="42" customHeight="1">
      <x:c r="A46" s="159" t="str">
        <x:v>fluidIntake|1.5-2 litres</x:v>
      </x:c>
      <x:c r="B46" s="148" t="n">
        <x:v>5</x:v>
      </x:c>
      <x:c r="C46" s="159" t="str">
        <x:v>hydration</x:v>
      </x:c>
      <x:c r="D46" s="159" t="str">
        <x:v>Hydration</x:v>
      </x:c>
      <x:c r="E46" s="159" t="str">
        <x:v>fluidIntake</x:v>
      </x:c>
      <x:c r="F46" s="159" t="str">
        <x:v>How much fluid do you drink daily?</x:v>
      </x:c>
      <x:c r="G46" s="159" t="str">
        <x:v>hydration</x:v>
      </x:c>
      <x:c r="H46" s="159" t="str">
        <x:v>Required</x:v>
      </x:c>
      <x:c r="I46" s="159" t="str">
        <x:v>1.5-2 litres</x:v>
      </x:c>
      <x:c r="J46" s="159" t="str">
        <x:v>one-half-to-two</x:v>
      </x:c>
      <x:c r="K46" s="168" t="n">
        <x:v>100</x:v>
      </x:c>
      <x:c r="L46" s="165" t="str"/>
      <x:c r="M46" s="165" t="str"/>
      <x:c r="N46" s="165" t="str"/>
      <x:c r="O46" s="166" t="str"/>
      <x:c r="P46" s="165" t="str">
        <x:v>Keep</x:v>
      </x:c>
      <x:c r="Q46" s="165" t="str">
        <x:v>Not reviewed</x:v>
      </x:c>
      <x:c r="R46" s="165" t="str"/>
    </x:row>
    <x:row r="47" ht="42" customHeight="1">
      <x:c r="A47" s="159" t="str">
        <x:v>fluidIntake|More than 2 litres</x:v>
      </x:c>
      <x:c r="B47" s="148" t="n">
        <x:v>5</x:v>
      </x:c>
      <x:c r="C47" s="159" t="str">
        <x:v>hydration</x:v>
      </x:c>
      <x:c r="D47" s="159" t="str">
        <x:v>Hydration</x:v>
      </x:c>
      <x:c r="E47" s="159" t="str">
        <x:v>fluidIntake</x:v>
      </x:c>
      <x:c r="F47" s="159" t="str">
        <x:v>How much fluid do you drink daily?</x:v>
      </x:c>
      <x:c r="G47" s="159" t="str">
        <x:v>hydration</x:v>
      </x:c>
      <x:c r="H47" s="159" t="str">
        <x:v>Required</x:v>
      </x:c>
      <x:c r="I47" s="159" t="str">
        <x:v>More than 2 litres</x:v>
      </x:c>
      <x:c r="J47" s="159" t="str">
        <x:v>over-two</x:v>
      </x:c>
      <x:c r="K47" s="168" t="n">
        <x:v>90</x:v>
      </x:c>
      <x:c r="L47" s="165" t="str"/>
      <x:c r="M47" s="165" t="str"/>
      <x:c r="N47" s="165" t="str"/>
      <x:c r="O47" s="166" t="str"/>
      <x:c r="P47" s="165" t="str">
        <x:v>Keep</x:v>
      </x:c>
      <x:c r="Q47" s="165" t="str">
        <x:v>Not reviewed</x:v>
      </x:c>
      <x:c r="R47" s="165" t="str"/>
    </x:row>
    <x:row r="48" ht="42" customHeight="1">
      <x:c r="A48" s="159" t="str">
        <x:v>sugaryDrinks|Daily</x:v>
      </x:c>
      <x:c r="B48" s="148" t="n">
        <x:v>5</x:v>
      </x:c>
      <x:c r="C48" s="159" t="str">
        <x:v>hydration</x:v>
      </x:c>
      <x:c r="D48" s="159" t="str">
        <x:v>Hydration</x:v>
      </x:c>
      <x:c r="E48" s="159" t="str">
        <x:v>sugaryDrinks</x:v>
      </x:c>
      <x:c r="F48" s="159" t="str">
        <x:v>How often do you consume sugary drinks?</x:v>
      </x:c>
      <x:c r="G48" s="159" t="str">
        <x:v>hydration</x:v>
      </x:c>
      <x:c r="H48" s="159" t="str">
        <x:v>Required</x:v>
      </x:c>
      <x:c r="I48" s="159" t="str">
        <x:v>Daily</x:v>
      </x:c>
      <x:c r="J48" s="159" t="str">
        <x:v>daily</x:v>
      </x:c>
      <x:c r="K48" s="168" t="n">
        <x:v>20</x:v>
      </x:c>
      <x:c r="L48" s="165" t="str"/>
      <x:c r="M48" s="165" t="str"/>
      <x:c r="N48" s="165" t="str"/>
      <x:c r="O48" s="166" t="str"/>
      <x:c r="P48" s="165" t="str">
        <x:v>Keep</x:v>
      </x:c>
      <x:c r="Q48" s="165" t="str">
        <x:v>Not reviewed</x:v>
      </x:c>
      <x:c r="R48" s="165" t="str"/>
    </x:row>
    <x:row r="49" ht="42" customHeight="1">
      <x:c r="A49" s="159" t="str">
        <x:v>sugaryDrinks|Several times per week</x:v>
      </x:c>
      <x:c r="B49" s="148" t="n">
        <x:v>5</x:v>
      </x:c>
      <x:c r="C49" s="159" t="str">
        <x:v>hydration</x:v>
      </x:c>
      <x:c r="D49" s="159" t="str">
        <x:v>Hydration</x:v>
      </x:c>
      <x:c r="E49" s="159" t="str">
        <x:v>sugaryDrinks</x:v>
      </x:c>
      <x:c r="F49" s="159" t="str">
        <x:v>How often do you consume sugary drinks?</x:v>
      </x:c>
      <x:c r="G49" s="159" t="str">
        <x:v>hydration</x:v>
      </x:c>
      <x:c r="H49" s="159" t="str">
        <x:v>Required</x:v>
      </x:c>
      <x:c r="I49" s="159" t="str">
        <x:v>Several times per week</x:v>
      </x:c>
      <x:c r="J49" s="159" t="str">
        <x:v>weekly</x:v>
      </x:c>
      <x:c r="K49" s="168" t="n">
        <x:v>50</x:v>
      </x:c>
      <x:c r="L49" s="165" t="str"/>
      <x:c r="M49" s="165" t="str"/>
      <x:c r="N49" s="165" t="str"/>
      <x:c r="O49" s="166" t="str"/>
      <x:c r="P49" s="165" t="str">
        <x:v>Keep</x:v>
      </x:c>
      <x:c r="Q49" s="165" t="str">
        <x:v>Not reviewed</x:v>
      </x:c>
      <x:c r="R49" s="165" t="str"/>
    </x:row>
    <x:row r="50" ht="42" customHeight="1">
      <x:c r="A50" s="159" t="str">
        <x:v>sugaryDrinks|Occasionally</x:v>
      </x:c>
      <x:c r="B50" s="148" t="n">
        <x:v>5</x:v>
      </x:c>
      <x:c r="C50" s="159" t="str">
        <x:v>hydration</x:v>
      </x:c>
      <x:c r="D50" s="159" t="str">
        <x:v>Hydration</x:v>
      </x:c>
      <x:c r="E50" s="159" t="str">
        <x:v>sugaryDrinks</x:v>
      </x:c>
      <x:c r="F50" s="159" t="str">
        <x:v>How often do you consume sugary drinks?</x:v>
      </x:c>
      <x:c r="G50" s="159" t="str">
        <x:v>hydration</x:v>
      </x:c>
      <x:c r="H50" s="159" t="str">
        <x:v>Required</x:v>
      </x:c>
      <x:c r="I50" s="159" t="str">
        <x:v>Occasionally</x:v>
      </x:c>
      <x:c r="J50" s="159" t="str">
        <x:v>occasionally</x:v>
      </x:c>
      <x:c r="K50" s="168" t="n">
        <x:v>80</x:v>
      </x:c>
      <x:c r="L50" s="165" t="str"/>
      <x:c r="M50" s="165" t="str"/>
      <x:c r="N50" s="165" t="str"/>
      <x:c r="O50" s="166" t="str"/>
      <x:c r="P50" s="165" t="str">
        <x:v>Keep</x:v>
      </x:c>
      <x:c r="Q50" s="165" t="str">
        <x:v>Not reviewed</x:v>
      </x:c>
      <x:c r="R50" s="165" t="str"/>
    </x:row>
    <x:row r="51" ht="42" customHeight="1">
      <x:c r="A51" s="159" t="str">
        <x:v>sugaryDrinks|Rarely or never</x:v>
      </x:c>
      <x:c r="B51" s="148" t="n">
        <x:v>5</x:v>
      </x:c>
      <x:c r="C51" s="159" t="str">
        <x:v>hydration</x:v>
      </x:c>
      <x:c r="D51" s="159" t="str">
        <x:v>Hydration</x:v>
      </x:c>
      <x:c r="E51" s="159" t="str">
        <x:v>sugaryDrinks</x:v>
      </x:c>
      <x:c r="F51" s="159" t="str">
        <x:v>How often do you consume sugary drinks?</x:v>
      </x:c>
      <x:c r="G51" s="159" t="str">
        <x:v>hydration</x:v>
      </x:c>
      <x:c r="H51" s="159" t="str">
        <x:v>Required</x:v>
      </x:c>
      <x:c r="I51" s="159" t="str">
        <x:v>Rarely or never</x:v>
      </x:c>
      <x:c r="J51" s="159" t="str">
        <x:v>rarely</x:v>
      </x:c>
      <x:c r="K51" s="168" t="n">
        <x:v>100</x:v>
      </x:c>
      <x:c r="L51" s="165" t="str"/>
      <x:c r="M51" s="165" t="str"/>
      <x:c r="N51" s="165" t="str"/>
      <x:c r="O51" s="166" t="str"/>
      <x:c r="P51" s="165" t="str">
        <x:v>Keep</x:v>
      </x:c>
      <x:c r="Q51" s="165" t="str">
        <x:v>Not reviewed</x:v>
      </x:c>
      <x:c r="R51" s="165" t="str"/>
    </x:row>
    <x:row r="52" ht="42" customHeight="1">
      <x:c r="A52" s="159" t="str">
        <x:v>breakfast|Rarely</x:v>
      </x:c>
      <x:c r="B52" s="148" t="n">
        <x:v>6</x:v>
      </x:c>
      <x:c r="C52" s="159" t="str">
        <x:v>meal-patterns</x:v>
      </x:c>
      <x:c r="D52" s="159" t="str">
        <x:v>Meal patterns</x:v>
      </x:c>
      <x:c r="E52" s="159" t="str">
        <x:v>breakfast</x:v>
      </x:c>
      <x:c r="F52" s="159" t="str">
        <x:v>Do you eat breakfast regularly?</x:v>
      </x:c>
      <x:c r="G52" s="159" t="str">
        <x:v>mealPatterns</x:v>
      </x:c>
      <x:c r="H52" s="159" t="str">
        <x:v>Required</x:v>
      </x:c>
      <x:c r="I52" s="159" t="str">
        <x:v>Rarely</x:v>
      </x:c>
      <x:c r="J52" s="159" t="str">
        <x:v>rarely</x:v>
      </x:c>
      <x:c r="K52" s="168" t="n">
        <x:v>30</x:v>
      </x:c>
      <x:c r="L52" s="165" t="str"/>
      <x:c r="M52" s="165" t="str"/>
      <x:c r="N52" s="165" t="str"/>
      <x:c r="O52" s="166" t="str"/>
      <x:c r="P52" s="165" t="str">
        <x:v>Keep</x:v>
      </x:c>
      <x:c r="Q52" s="165" t="str">
        <x:v>Not reviewed</x:v>
      </x:c>
      <x:c r="R52" s="165" t="str"/>
    </x:row>
    <x:row r="53" ht="42" customHeight="1">
      <x:c r="A53" s="159" t="str">
        <x:v>breakfast|A few days per week</x:v>
      </x:c>
      <x:c r="B53" s="148" t="n">
        <x:v>6</x:v>
      </x:c>
      <x:c r="C53" s="159" t="str">
        <x:v>meal-patterns</x:v>
      </x:c>
      <x:c r="D53" s="159" t="str">
        <x:v>Meal patterns</x:v>
      </x:c>
      <x:c r="E53" s="159" t="str">
        <x:v>breakfast</x:v>
      </x:c>
      <x:c r="F53" s="159" t="str">
        <x:v>Do you eat breakfast regularly?</x:v>
      </x:c>
      <x:c r="G53" s="159" t="str">
        <x:v>mealPatterns</x:v>
      </x:c>
      <x:c r="H53" s="159" t="str">
        <x:v>Required</x:v>
      </x:c>
      <x:c r="I53" s="159" t="str">
        <x:v>A few days per week</x:v>
      </x:c>
      <x:c r="J53" s="159" t="str">
        <x:v>few-days</x:v>
      </x:c>
      <x:c r="K53" s="168" t="n">
        <x:v>55</x:v>
      </x:c>
      <x:c r="L53" s="165" t="str"/>
      <x:c r="M53" s="165" t="str"/>
      <x:c r="N53" s="165" t="str"/>
      <x:c r="O53" s="166" t="str"/>
      <x:c r="P53" s="165" t="str">
        <x:v>Keep</x:v>
      </x:c>
      <x:c r="Q53" s="165" t="str">
        <x:v>Not reviewed</x:v>
      </x:c>
      <x:c r="R53" s="165" t="str"/>
    </x:row>
    <x:row r="54" ht="42" customHeight="1">
      <x:c r="A54" s="159" t="str">
        <x:v>breakfast|Most days</x:v>
      </x:c>
      <x:c r="B54" s="148" t="n">
        <x:v>6</x:v>
      </x:c>
      <x:c r="C54" s="159" t="str">
        <x:v>meal-patterns</x:v>
      </x:c>
      <x:c r="D54" s="159" t="str">
        <x:v>Meal patterns</x:v>
      </x:c>
      <x:c r="E54" s="159" t="str">
        <x:v>breakfast</x:v>
      </x:c>
      <x:c r="F54" s="159" t="str">
        <x:v>Do you eat breakfast regularly?</x:v>
      </x:c>
      <x:c r="G54" s="159" t="str">
        <x:v>mealPatterns</x:v>
      </x:c>
      <x:c r="H54" s="159" t="str">
        <x:v>Required</x:v>
      </x:c>
      <x:c r="I54" s="159" t="str">
        <x:v>Most days</x:v>
      </x:c>
      <x:c r="J54" s="159" t="str">
        <x:v>most-days</x:v>
      </x:c>
      <x:c r="K54" s="168" t="n">
        <x:v>85</x:v>
      </x:c>
      <x:c r="L54" s="165" t="str"/>
      <x:c r="M54" s="165" t="str"/>
      <x:c r="N54" s="165" t="str"/>
      <x:c r="O54" s="166" t="str"/>
      <x:c r="P54" s="165" t="str">
        <x:v>Keep</x:v>
      </x:c>
      <x:c r="Q54" s="165" t="str">
        <x:v>Not reviewed</x:v>
      </x:c>
      <x:c r="R54" s="165" t="str"/>
    </x:row>
    <x:row r="55" ht="42" customHeight="1">
      <x:c r="A55" s="159" t="str">
        <x:v>breakfast|Daily</x:v>
      </x:c>
      <x:c r="B55" s="148" t="n">
        <x:v>6</x:v>
      </x:c>
      <x:c r="C55" s="159" t="str">
        <x:v>meal-patterns</x:v>
      </x:c>
      <x:c r="D55" s="159" t="str">
        <x:v>Meal patterns</x:v>
      </x:c>
      <x:c r="E55" s="159" t="str">
        <x:v>breakfast</x:v>
      </x:c>
      <x:c r="F55" s="159" t="str">
        <x:v>Do you eat breakfast regularly?</x:v>
      </x:c>
      <x:c r="G55" s="159" t="str">
        <x:v>mealPatterns</x:v>
      </x:c>
      <x:c r="H55" s="159" t="str">
        <x:v>Required</x:v>
      </x:c>
      <x:c r="I55" s="159" t="str">
        <x:v>Daily</x:v>
      </x:c>
      <x:c r="J55" s="159" t="str">
        <x:v>daily</x:v>
      </x:c>
      <x:c r="K55" s="168" t="n">
        <x:v>100</x:v>
      </x:c>
      <x:c r="L55" s="165" t="str"/>
      <x:c r="M55" s="165" t="str"/>
      <x:c r="N55" s="165" t="str"/>
      <x:c r="O55" s="166" t="str"/>
      <x:c r="P55" s="165" t="str">
        <x:v>Keep</x:v>
      </x:c>
      <x:c r="Q55" s="165" t="str">
        <x:v>Not reviewed</x:v>
      </x:c>
      <x:c r="R55" s="165" t="str"/>
    </x:row>
    <x:row r="56" ht="42" customHeight="1">
      <x:c r="A56" s="159" t="str">
        <x:v>skippingMeals|Most days</x:v>
      </x:c>
      <x:c r="B56" s="148" t="n">
        <x:v>6</x:v>
      </x:c>
      <x:c r="C56" s="159" t="str">
        <x:v>meal-patterns</x:v>
      </x:c>
      <x:c r="D56" s="159" t="str">
        <x:v>Meal patterns</x:v>
      </x:c>
      <x:c r="E56" s="159" t="str">
        <x:v>skippingMeals</x:v>
      </x:c>
      <x:c r="F56" s="159" t="str">
        <x:v>How often do you skip meals?</x:v>
      </x:c>
      <x:c r="G56" s="159" t="str">
        <x:v>mealPatterns</x:v>
      </x:c>
      <x:c r="H56" s="159" t="str">
        <x:v>Required</x:v>
      </x:c>
      <x:c r="I56" s="159" t="str">
        <x:v>Most days</x:v>
      </x:c>
      <x:c r="J56" s="159" t="str">
        <x:v>most-days</x:v>
      </x:c>
      <x:c r="K56" s="168" t="n">
        <x:v>25</x:v>
      </x:c>
      <x:c r="L56" s="165" t="str"/>
      <x:c r="M56" s="165" t="str"/>
      <x:c r="N56" s="165" t="str"/>
      <x:c r="O56" s="166" t="str"/>
      <x:c r="P56" s="165" t="str">
        <x:v>Keep</x:v>
      </x:c>
      <x:c r="Q56" s="165" t="str">
        <x:v>Not reviewed</x:v>
      </x:c>
      <x:c r="R56" s="165" t="str"/>
    </x:row>
    <x:row r="57" ht="42" customHeight="1">
      <x:c r="A57" s="159" t="str">
        <x:v>skippingMeals|A few times per week</x:v>
      </x:c>
      <x:c r="B57" s="148" t="n">
        <x:v>6</x:v>
      </x:c>
      <x:c r="C57" s="159" t="str">
        <x:v>meal-patterns</x:v>
      </x:c>
      <x:c r="D57" s="159" t="str">
        <x:v>Meal patterns</x:v>
      </x:c>
      <x:c r="E57" s="159" t="str">
        <x:v>skippingMeals</x:v>
      </x:c>
      <x:c r="F57" s="159" t="str">
        <x:v>How often do you skip meals?</x:v>
      </x:c>
      <x:c r="G57" s="159" t="str">
        <x:v>mealPatterns</x:v>
      </x:c>
      <x:c r="H57" s="159" t="str">
        <x:v>Required</x:v>
      </x:c>
      <x:c r="I57" s="159" t="str">
        <x:v>A few times per week</x:v>
      </x:c>
      <x:c r="J57" s="159" t="str">
        <x:v>few-times</x:v>
      </x:c>
      <x:c r="K57" s="168" t="n">
        <x:v>55</x:v>
      </x:c>
      <x:c r="L57" s="165" t="str"/>
      <x:c r="M57" s="165" t="str"/>
      <x:c r="N57" s="165" t="str"/>
      <x:c r="O57" s="166" t="str"/>
      <x:c r="P57" s="165" t="str">
        <x:v>Keep</x:v>
      </x:c>
      <x:c r="Q57" s="165" t="str">
        <x:v>Not reviewed</x:v>
      </x:c>
      <x:c r="R57" s="165" t="str"/>
    </x:row>
    <x:row r="58" ht="42" customHeight="1">
      <x:c r="A58" s="159" t="str">
        <x:v>skippingMeals|Occasionally</x:v>
      </x:c>
      <x:c r="B58" s="148" t="n">
        <x:v>6</x:v>
      </x:c>
      <x:c r="C58" s="159" t="str">
        <x:v>meal-patterns</x:v>
      </x:c>
      <x:c r="D58" s="159" t="str">
        <x:v>Meal patterns</x:v>
      </x:c>
      <x:c r="E58" s="159" t="str">
        <x:v>skippingMeals</x:v>
      </x:c>
      <x:c r="F58" s="159" t="str">
        <x:v>How often do you skip meals?</x:v>
      </x:c>
      <x:c r="G58" s="159" t="str">
        <x:v>mealPatterns</x:v>
      </x:c>
      <x:c r="H58" s="159" t="str">
        <x:v>Required</x:v>
      </x:c>
      <x:c r="I58" s="159" t="str">
        <x:v>Occasionally</x:v>
      </x:c>
      <x:c r="J58" s="159" t="str">
        <x:v>occasionally</x:v>
      </x:c>
      <x:c r="K58" s="168" t="n">
        <x:v>80</x:v>
      </x:c>
      <x:c r="L58" s="165" t="str"/>
      <x:c r="M58" s="165" t="str"/>
      <x:c r="N58" s="165" t="str"/>
      <x:c r="O58" s="166" t="str"/>
      <x:c r="P58" s="165" t="str">
        <x:v>Keep</x:v>
      </x:c>
      <x:c r="Q58" s="165" t="str">
        <x:v>Not reviewed</x:v>
      </x:c>
      <x:c r="R58" s="165" t="str"/>
    </x:row>
    <x:row r="59" ht="42" customHeight="1">
      <x:c r="A59" s="159" t="str">
        <x:v>skippingMeals|Rarely or never</x:v>
      </x:c>
      <x:c r="B59" s="148" t="n">
        <x:v>6</x:v>
      </x:c>
      <x:c r="C59" s="159" t="str">
        <x:v>meal-patterns</x:v>
      </x:c>
      <x:c r="D59" s="159" t="str">
        <x:v>Meal patterns</x:v>
      </x:c>
      <x:c r="E59" s="159" t="str">
        <x:v>skippingMeals</x:v>
      </x:c>
      <x:c r="F59" s="159" t="str">
        <x:v>How often do you skip meals?</x:v>
      </x:c>
      <x:c r="G59" s="159" t="str">
        <x:v>mealPatterns</x:v>
      </x:c>
      <x:c r="H59" s="159" t="str">
        <x:v>Required</x:v>
      </x:c>
      <x:c r="I59" s="159" t="str">
        <x:v>Rarely or never</x:v>
      </x:c>
      <x:c r="J59" s="159" t="str">
        <x:v>rarely</x:v>
      </x:c>
      <x:c r="K59" s="168" t="n">
        <x:v>100</x:v>
      </x:c>
      <x:c r="L59" s="165" t="str"/>
      <x:c r="M59" s="165" t="str"/>
      <x:c r="N59" s="165" t="str"/>
      <x:c r="O59" s="166" t="str"/>
      <x:c r="P59" s="165" t="str">
        <x:v>Keep</x:v>
      </x:c>
      <x:c r="Q59" s="165" t="str">
        <x:v>Not reviewed</x:v>
      </x:c>
      <x:c r="R59" s="165" t="str"/>
    </x:row>
    <x:row r="60" ht="42" customHeight="1">
      <x:c r="A60" s="159" t="str">
        <x:v>regularTimes|Rarely</x:v>
      </x:c>
      <x:c r="B60" s="148" t="n">
        <x:v>6</x:v>
      </x:c>
      <x:c r="C60" s="159" t="str">
        <x:v>meal-patterns</x:v>
      </x:c>
      <x:c r="D60" s="159" t="str">
        <x:v>Meal patterns</x:v>
      </x:c>
      <x:c r="E60" s="159" t="str">
        <x:v>regularTimes</x:v>
      </x:c>
      <x:c r="F60" s="159" t="str">
        <x:v>Do you tend to eat at regular times?</x:v>
      </x:c>
      <x:c r="G60" s="159" t="str">
        <x:v>mealPatterns</x:v>
      </x:c>
      <x:c r="H60" s="159" t="str">
        <x:v>Required</x:v>
      </x:c>
      <x:c r="I60" s="159" t="str">
        <x:v>Rarely</x:v>
      </x:c>
      <x:c r="J60" s="159" t="str">
        <x:v>rarely</x:v>
      </x:c>
      <x:c r="K60" s="168" t="n">
        <x:v>35</x:v>
      </x:c>
      <x:c r="L60" s="165" t="str"/>
      <x:c r="M60" s="165" t="str"/>
      <x:c r="N60" s="165" t="str"/>
      <x:c r="O60" s="166" t="str"/>
      <x:c r="P60" s="165" t="str">
        <x:v>Keep</x:v>
      </x:c>
      <x:c r="Q60" s="165" t="str">
        <x:v>Not reviewed</x:v>
      </x:c>
      <x:c r="R60" s="165" t="str"/>
    </x:row>
    <x:row r="61" ht="42" customHeight="1">
      <x:c r="A61" s="159" t="str">
        <x:v>regularTimes|Sometimes</x:v>
      </x:c>
      <x:c r="B61" s="148" t="n">
        <x:v>6</x:v>
      </x:c>
      <x:c r="C61" s="159" t="str">
        <x:v>meal-patterns</x:v>
      </x:c>
      <x:c r="D61" s="159" t="str">
        <x:v>Meal patterns</x:v>
      </x:c>
      <x:c r="E61" s="159" t="str">
        <x:v>regularTimes</x:v>
      </x:c>
      <x:c r="F61" s="159" t="str">
        <x:v>Do you tend to eat at regular times?</x:v>
      </x:c>
      <x:c r="G61" s="159" t="str">
        <x:v>mealPatterns</x:v>
      </x:c>
      <x:c r="H61" s="159" t="str">
        <x:v>Required</x:v>
      </x:c>
      <x:c r="I61" s="159" t="str">
        <x:v>Sometimes</x:v>
      </x:c>
      <x:c r="J61" s="159" t="str">
        <x:v>sometimes</x:v>
      </x:c>
      <x:c r="K61" s="168" t="n">
        <x:v>60</x:v>
      </x:c>
      <x:c r="L61" s="165" t="str"/>
      <x:c r="M61" s="165" t="str"/>
      <x:c r="N61" s="165" t="str"/>
      <x:c r="O61" s="166" t="str"/>
      <x:c r="P61" s="165" t="str">
        <x:v>Keep</x:v>
      </x:c>
      <x:c r="Q61" s="165" t="str">
        <x:v>Not reviewed</x:v>
      </x:c>
      <x:c r="R61" s="165" t="str"/>
    </x:row>
    <x:row r="62" ht="42" customHeight="1">
      <x:c r="A62" s="159" t="str">
        <x:v>regularTimes|Often</x:v>
      </x:c>
      <x:c r="B62" s="148" t="n">
        <x:v>6</x:v>
      </x:c>
      <x:c r="C62" s="159" t="str">
        <x:v>meal-patterns</x:v>
      </x:c>
      <x:c r="D62" s="159" t="str">
        <x:v>Meal patterns</x:v>
      </x:c>
      <x:c r="E62" s="159" t="str">
        <x:v>regularTimes</x:v>
      </x:c>
      <x:c r="F62" s="159" t="str">
        <x:v>Do you tend to eat at regular times?</x:v>
      </x:c>
      <x:c r="G62" s="159" t="str">
        <x:v>mealPatterns</x:v>
      </x:c>
      <x:c r="H62" s="159" t="str">
        <x:v>Required</x:v>
      </x:c>
      <x:c r="I62" s="159" t="str">
        <x:v>Often</x:v>
      </x:c>
      <x:c r="J62" s="159" t="str">
        <x:v>often</x:v>
      </x:c>
      <x:c r="K62" s="168" t="n">
        <x:v>85</x:v>
      </x:c>
      <x:c r="L62" s="165" t="str"/>
      <x:c r="M62" s="165" t="str"/>
      <x:c r="N62" s="165" t="str"/>
      <x:c r="O62" s="166" t="str"/>
      <x:c r="P62" s="165" t="str">
        <x:v>Keep</x:v>
      </x:c>
      <x:c r="Q62" s="165" t="str">
        <x:v>Not reviewed</x:v>
      </x:c>
      <x:c r="R62" s="165" t="str"/>
    </x:row>
    <x:row r="63" ht="42" customHeight="1">
      <x:c r="A63" s="159" t="str">
        <x:v>regularTimes|Almost always</x:v>
      </x:c>
      <x:c r="B63" s="148" t="n">
        <x:v>6</x:v>
      </x:c>
      <x:c r="C63" s="159" t="str">
        <x:v>meal-patterns</x:v>
      </x:c>
      <x:c r="D63" s="159" t="str">
        <x:v>Meal patterns</x:v>
      </x:c>
      <x:c r="E63" s="159" t="str">
        <x:v>regularTimes</x:v>
      </x:c>
      <x:c r="F63" s="159" t="str">
        <x:v>Do you tend to eat at regular times?</x:v>
      </x:c>
      <x:c r="G63" s="159" t="str">
        <x:v>mealPatterns</x:v>
      </x:c>
      <x:c r="H63" s="159" t="str">
        <x:v>Required</x:v>
      </x:c>
      <x:c r="I63" s="159" t="str">
        <x:v>Almost always</x:v>
      </x:c>
      <x:c r="J63" s="159" t="str">
        <x:v>always</x:v>
      </x:c>
      <x:c r="K63" s="168" t="n">
        <x:v>100</x:v>
      </x:c>
      <x:c r="L63" s="165" t="str"/>
      <x:c r="M63" s="165" t="str"/>
      <x:c r="N63" s="165" t="str"/>
      <x:c r="O63" s="166" t="str"/>
      <x:c r="P63" s="165" t="str">
        <x:v>Keep</x:v>
      </x:c>
      <x:c r="Q63" s="165" t="str">
        <x:v>Not reviewed</x:v>
      </x:c>
      <x:c r="R63" s="165" t="str"/>
    </x:row>
    <x:row r="64" ht="42" customHeight="1">
      <x:c r="A64" s="159" t="str">
        <x:v>activityDays|0 days</x:v>
      </x:c>
      <x:c r="B64" s="148" t="n">
        <x:v>7</x:v>
      </x:c>
      <x:c r="C64" s="159" t="str">
        <x:v>lifestyle</x:v>
      </x:c>
      <x:c r="D64" s="159" t="str">
        <x:v>Lifestyle</x:v>
      </x:c>
      <x:c r="E64" s="159" t="str">
        <x:v>activityDays</x:v>
      </x:c>
      <x:c r="F64" s="159" t="str">
        <x:v>How many days per week are you physically active?</x:v>
      </x:c>
      <x:c r="G64" s="159" t="str">
        <x:v>lifestyle</x:v>
      </x:c>
      <x:c r="H64" s="159" t="str">
        <x:v>Required</x:v>
      </x:c>
      <x:c r="I64" s="159" t="str">
        <x:v>0 days</x:v>
      </x:c>
      <x:c r="J64" s="159" t="str">
        <x:v>zero</x:v>
      </x:c>
      <x:c r="K64" s="168" t="n">
        <x:v>15</x:v>
      </x:c>
      <x:c r="L64" s="165" t="str"/>
      <x:c r="M64" s="165" t="str"/>
      <x:c r="N64" s="165" t="str"/>
      <x:c r="O64" s="166" t="str"/>
      <x:c r="P64" s="165" t="str">
        <x:v>Keep</x:v>
      </x:c>
      <x:c r="Q64" s="165" t="str">
        <x:v>Not reviewed</x:v>
      </x:c>
      <x:c r="R64" s="165" t="str"/>
    </x:row>
    <x:row r="65" ht="42" customHeight="1">
      <x:c r="A65" s="159" t="str">
        <x:v>activityDays|1-2 days</x:v>
      </x:c>
      <x:c r="B65" s="148" t="n">
        <x:v>7</x:v>
      </x:c>
      <x:c r="C65" s="159" t="str">
        <x:v>lifestyle</x:v>
      </x:c>
      <x:c r="D65" s="159" t="str">
        <x:v>Lifestyle</x:v>
      </x:c>
      <x:c r="E65" s="159" t="str">
        <x:v>activityDays</x:v>
      </x:c>
      <x:c r="F65" s="159" t="str">
        <x:v>How many days per week are you physically active?</x:v>
      </x:c>
      <x:c r="G65" s="159" t="str">
        <x:v>lifestyle</x:v>
      </x:c>
      <x:c r="H65" s="159" t="str">
        <x:v>Required</x:v>
      </x:c>
      <x:c r="I65" s="159" t="str">
        <x:v>1-2 days</x:v>
      </x:c>
      <x:c r="J65" s="159" t="str">
        <x:v>one-two</x:v>
      </x:c>
      <x:c r="K65" s="168" t="n">
        <x:v>50</x:v>
      </x:c>
      <x:c r="L65" s="165" t="str"/>
      <x:c r="M65" s="165" t="str"/>
      <x:c r="N65" s="165" t="str"/>
      <x:c r="O65" s="166" t="str"/>
      <x:c r="P65" s="165" t="str">
        <x:v>Keep</x:v>
      </x:c>
      <x:c r="Q65" s="165" t="str">
        <x:v>Not reviewed</x:v>
      </x:c>
      <x:c r="R65" s="165" t="str"/>
    </x:row>
    <x:row r="66" ht="42" customHeight="1">
      <x:c r="A66" s="159" t="str">
        <x:v>activityDays|3-4 days</x:v>
      </x:c>
      <x:c r="B66" s="148" t="n">
        <x:v>7</x:v>
      </x:c>
      <x:c r="C66" s="159" t="str">
        <x:v>lifestyle</x:v>
      </x:c>
      <x:c r="D66" s="159" t="str">
        <x:v>Lifestyle</x:v>
      </x:c>
      <x:c r="E66" s="159" t="str">
        <x:v>activityDays</x:v>
      </x:c>
      <x:c r="F66" s="159" t="str">
        <x:v>How many days per week are you physically active?</x:v>
      </x:c>
      <x:c r="G66" s="159" t="str">
        <x:v>lifestyle</x:v>
      </x:c>
      <x:c r="H66" s="159" t="str">
        <x:v>Required</x:v>
      </x:c>
      <x:c r="I66" s="159" t="str">
        <x:v>3-4 days</x:v>
      </x:c>
      <x:c r="J66" s="159" t="str">
        <x:v>three-four</x:v>
      </x:c>
      <x:c r="K66" s="168" t="n">
        <x:v>85</x:v>
      </x:c>
      <x:c r="L66" s="165" t="str"/>
      <x:c r="M66" s="165" t="str"/>
      <x:c r="N66" s="165" t="str"/>
      <x:c r="O66" s="166" t="str"/>
      <x:c r="P66" s="165" t="str">
        <x:v>Keep</x:v>
      </x:c>
      <x:c r="Q66" s="165" t="str">
        <x:v>Not reviewed</x:v>
      </x:c>
      <x:c r="R66" s="165" t="str"/>
    </x:row>
    <x:row r="67" ht="42" customHeight="1">
      <x:c r="A67" s="159" t="str">
        <x:v>activityDays|5 or more days</x:v>
      </x:c>
      <x:c r="B67" s="148" t="n">
        <x:v>7</x:v>
      </x:c>
      <x:c r="C67" s="159" t="str">
        <x:v>lifestyle</x:v>
      </x:c>
      <x:c r="D67" s="159" t="str">
        <x:v>Lifestyle</x:v>
      </x:c>
      <x:c r="E67" s="159" t="str">
        <x:v>activityDays</x:v>
      </x:c>
      <x:c r="F67" s="159" t="str">
        <x:v>How many days per week are you physically active?</x:v>
      </x:c>
      <x:c r="G67" s="159" t="str">
        <x:v>lifestyle</x:v>
      </x:c>
      <x:c r="H67" s="159" t="str">
        <x:v>Required</x:v>
      </x:c>
      <x:c r="I67" s="159" t="str">
        <x:v>5 or more days</x:v>
      </x:c>
      <x:c r="J67" s="159" t="str">
        <x:v>five-plus</x:v>
      </x:c>
      <x:c r="K67" s="168" t="n">
        <x:v>100</x:v>
      </x:c>
      <x:c r="L67" s="165" t="str"/>
      <x:c r="M67" s="165" t="str"/>
      <x:c r="N67" s="165" t="str"/>
      <x:c r="O67" s="166" t="str"/>
      <x:c r="P67" s="165" t="str">
        <x:v>Keep</x:v>
      </x:c>
      <x:c r="Q67" s="165" t="str">
        <x:v>Not reviewed</x:v>
      </x:c>
      <x:c r="R67" s="165" t="str"/>
    </x:row>
    <x:row r="68" ht="42" customHeight="1">
      <x:c r="A68" s="159" t="str">
        <x:v>sleepQuality|Poor</x:v>
      </x:c>
      <x:c r="B68" s="148" t="n">
        <x:v>7</x:v>
      </x:c>
      <x:c r="C68" s="159" t="str">
        <x:v>lifestyle</x:v>
      </x:c>
      <x:c r="D68" s="159" t="str">
        <x:v>Lifestyle</x:v>
      </x:c>
      <x:c r="E68" s="159" t="str">
        <x:v>sleepQuality</x:v>
      </x:c>
      <x:c r="F68" s="159" t="str">
        <x:v>How would you rate your sleep quality?</x:v>
      </x:c>
      <x:c r="G68" s="159" t="str">
        <x:v>lifestyle</x:v>
      </x:c>
      <x:c r="H68" s="159" t="str">
        <x:v>Required</x:v>
      </x:c>
      <x:c r="I68" s="159" t="str">
        <x:v>Poor</x:v>
      </x:c>
      <x:c r="J68" s="159" t="str">
        <x:v>poor</x:v>
      </x:c>
      <x:c r="K68" s="168" t="n">
        <x:v>25</x:v>
      </x:c>
      <x:c r="L68" s="165" t="str"/>
      <x:c r="M68" s="165" t="str"/>
      <x:c r="N68" s="165" t="str"/>
      <x:c r="O68" s="166" t="str"/>
      <x:c r="P68" s="165" t="str">
        <x:v>Keep</x:v>
      </x:c>
      <x:c r="Q68" s="165" t="str">
        <x:v>Not reviewed</x:v>
      </x:c>
      <x:c r="R68" s="165" t="str"/>
    </x:row>
    <x:row r="69" ht="42" customHeight="1">
      <x:c r="A69" s="159" t="str">
        <x:v>sleepQuality|Fair</x:v>
      </x:c>
      <x:c r="B69" s="148" t="n">
        <x:v>7</x:v>
      </x:c>
      <x:c r="C69" s="159" t="str">
        <x:v>lifestyle</x:v>
      </x:c>
      <x:c r="D69" s="159" t="str">
        <x:v>Lifestyle</x:v>
      </x:c>
      <x:c r="E69" s="159" t="str">
        <x:v>sleepQuality</x:v>
      </x:c>
      <x:c r="F69" s="159" t="str">
        <x:v>How would you rate your sleep quality?</x:v>
      </x:c>
      <x:c r="G69" s="159" t="str">
        <x:v>lifestyle</x:v>
      </x:c>
      <x:c r="H69" s="159" t="str">
        <x:v>Required</x:v>
      </x:c>
      <x:c r="I69" s="159" t="str">
        <x:v>Fair</x:v>
      </x:c>
      <x:c r="J69" s="159" t="str">
        <x:v>fair</x:v>
      </x:c>
      <x:c r="K69" s="168" t="n">
        <x:v>55</x:v>
      </x:c>
      <x:c r="L69" s="165" t="str"/>
      <x:c r="M69" s="165" t="str"/>
      <x:c r="N69" s="165" t="str"/>
      <x:c r="O69" s="166" t="str"/>
      <x:c r="P69" s="165" t="str">
        <x:v>Keep</x:v>
      </x:c>
      <x:c r="Q69" s="165" t="str">
        <x:v>Not reviewed</x:v>
      </x:c>
      <x:c r="R69" s="165" t="str"/>
    </x:row>
    <x:row r="70" ht="42" customHeight="1">
      <x:c r="A70" s="159" t="str">
        <x:v>sleepQuality|Good</x:v>
      </x:c>
      <x:c r="B70" s="148" t="n">
        <x:v>7</x:v>
      </x:c>
      <x:c r="C70" s="159" t="str">
        <x:v>lifestyle</x:v>
      </x:c>
      <x:c r="D70" s="159" t="str">
        <x:v>Lifestyle</x:v>
      </x:c>
      <x:c r="E70" s="159" t="str">
        <x:v>sleepQuality</x:v>
      </x:c>
      <x:c r="F70" s="159" t="str">
        <x:v>How would you rate your sleep quality?</x:v>
      </x:c>
      <x:c r="G70" s="159" t="str">
        <x:v>lifestyle</x:v>
      </x:c>
      <x:c r="H70" s="159" t="str">
        <x:v>Required</x:v>
      </x:c>
      <x:c r="I70" s="159" t="str">
        <x:v>Good</x:v>
      </x:c>
      <x:c r="J70" s="159" t="str">
        <x:v>good</x:v>
      </x:c>
      <x:c r="K70" s="168" t="n">
        <x:v>85</x:v>
      </x:c>
      <x:c r="L70" s="165" t="str"/>
      <x:c r="M70" s="165" t="str"/>
      <x:c r="N70" s="165" t="str"/>
      <x:c r="O70" s="166" t="str"/>
      <x:c r="P70" s="165" t="str">
        <x:v>Keep</x:v>
      </x:c>
      <x:c r="Q70" s="165" t="str">
        <x:v>Not reviewed</x:v>
      </x:c>
      <x:c r="R70" s="165" t="str"/>
    </x:row>
    <x:row r="71" ht="42" customHeight="1">
      <x:c r="A71" s="159" t="str">
        <x:v>sleepQuality|Very good</x:v>
      </x:c>
      <x:c r="B71" s="148" t="n">
        <x:v>7</x:v>
      </x:c>
      <x:c r="C71" s="159" t="str">
        <x:v>lifestyle</x:v>
      </x:c>
      <x:c r="D71" s="159" t="str">
        <x:v>Lifestyle</x:v>
      </x:c>
      <x:c r="E71" s="159" t="str">
        <x:v>sleepQuality</x:v>
      </x:c>
      <x:c r="F71" s="159" t="str">
        <x:v>How would you rate your sleep quality?</x:v>
      </x:c>
      <x:c r="G71" s="159" t="str">
        <x:v>lifestyle</x:v>
      </x:c>
      <x:c r="H71" s="159" t="str">
        <x:v>Required</x:v>
      </x:c>
      <x:c r="I71" s="159" t="str">
        <x:v>Very good</x:v>
      </x:c>
      <x:c r="J71" s="159" t="str">
        <x:v>very-good</x:v>
      </x:c>
      <x:c r="K71" s="168" t="n">
        <x:v>100</x:v>
      </x:c>
      <x:c r="L71" s="165" t="str"/>
      <x:c r="M71" s="165" t="str"/>
      <x:c r="N71" s="165" t="str"/>
      <x:c r="O71" s="166" t="str"/>
      <x:c r="P71" s="165" t="str">
        <x:v>Keep</x:v>
      </x:c>
      <x:c r="Q71" s="165" t="str">
        <x:v>Not reviewed</x:v>
      </x:c>
      <x:c r="R71" s="165" t="str"/>
    </x:row>
  </x:sheetData>
  <x:mergeCells>
    <x:mergeCell ref="A1:R1"/>
    <x:mergeCell ref="A2:R3"/>
  </x:mergeCells>
  <x:dataValidations count="3">
    <x:dataValidation type="list" sqref="P5:P71">
      <x:formula1>"Keep,Revise,Remove,Discuss"</x:formula1>
    </x:dataValidation>
    <x:dataValidation type="list" sqref="Q5:Q71">
      <x:formula1>"Not reviewed,Needs changes,Approved,Clinical concern"</x:formula1>
    </x:dataValidation>
    <x:dataValidation type="list" sqref="H5:H71">
      <x:formula1>"Required,Optional"</x:formula1>
    </x:dataValidation>
  </x:dataValidations>
  <x:pageMargins left="0.7" right="0.7" top="0.75" bottom="0.75" header="0.3" footer="0.3"/>
  <x:tableParts count="1">
    <x:tablePart xmlns:r="http://schemas.openxmlformats.org/officeDocument/2006/relationships" r:id="R59c2700be9c84ff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28" hidden="0" customWidth="1"/>
    <x:col min="4" max="4" width="45" hidden="0" customWidth="1"/>
    <x:col min="5" max="5" width="22" hidden="0" customWidth="1"/>
    <x:col min="6" max="6" width="36" hidden="0" customWidth="1"/>
    <x:col min="7" max="7" width="34" hidden="0" customWidth="1"/>
    <x:col min="8" max="8" width="30" hidden="0" customWidth="1"/>
    <x:col min="9" max="9" width="34" hidden="0" customWidth="1"/>
    <x:col min="10" max="10" width="20" hidden="0" customWidth="1"/>
  </x:cols>
  <x:sheetData>
    <x:row r="1" ht="34" customHeight="1">
      <x:c r="A1" s="134" t="str">
        <x:v>Results Logic</x:v>
      </x:c>
      <x:c r="B1" s="134"/>
      <x:c r="C1" s="134"/>
      <x:c r="D1" s="134"/>
      <x:c r="E1" s="134"/>
      <x:c r="F1" s="134"/>
      <x:c r="G1" s="134"/>
      <x:c r="H1" s="134"/>
      <x:c r="I1" s="134"/>
      <x:c r="J1" s="134"/>
    </x:row>
    <x:row r="2" ht="28" customHeight="1">
      <x:c r="A2" s="135" t="str">
        <x:v>Current rating bands, category summaries, overall calculation, and recommendation rules.</x:v>
      </x:c>
      <x:c r="B2" s="135"/>
      <x:c r="C2" s="135"/>
      <x:c r="D2" s="135"/>
      <x:c r="E2" s="135"/>
      <x:c r="F2" s="135"/>
      <x:c r="G2" s="135"/>
      <x:c r="H2" s="135"/>
      <x:c r="I2" s="135"/>
      <x:c r="J2" s="135"/>
    </x:row>
    <x:row r="3" ht="28" customHeight="1">
      <x:c r="A3" s="135"/>
      <x:c r="B3" s="135"/>
      <x:c r="C3" s="135"/>
      <x:c r="D3" s="135"/>
      <x:c r="E3" s="135"/>
      <x:c r="F3" s="135"/>
      <x:c r="G3" s="135"/>
      <x:c r="H3" s="135"/>
      <x:c r="I3" s="135"/>
      <x:c r="J3" s="135"/>
    </x:row>
    <x:row r="4" ht="24" customHeight="1">
      <x:c r="A4" s="136" t="str">
        <x:v>Rating Bands</x:v>
      </x:c>
      <x:c r="B4" s="136"/>
      <x:c r="C4" s="136"/>
      <x:c r="D4" s="136"/>
      <x:c r="E4" s="146"/>
      <x:c r="F4" s="146"/>
      <x:c r="G4" s="146"/>
      <x:c r="H4" s="146"/>
      <x:c r="I4" s="146"/>
      <x:c r="J4" s="146"/>
    </x:row>
    <x:row r="5" ht="34" customHeight="1">
      <x:c r="A5" s="158" t="str">
        <x:v>Minimum Score</x:v>
      </x:c>
      <x:c r="B5" s="158" t="str">
        <x:v>Maximum Score</x:v>
      </x:c>
      <x:c r="C5" s="158" t="str">
        <x:v>Rating</x:v>
      </x:c>
      <x:c r="D5" s="158" t="str">
        <x:v>Applied To</x:v>
      </x:c>
      <x:c r="E5" s="146"/>
      <x:c r="F5" s="146"/>
      <x:c r="G5" s="146"/>
      <x:c r="H5" s="146"/>
      <x:c r="I5" s="146"/>
      <x:c r="J5" s="146"/>
    </x:row>
    <x:row r="6">
      <x:c r="A6" s="159" t="n">
        <x:v>80</x:v>
      </x:c>
      <x:c r="B6" s="159" t="n">
        <x:v>100</x:v>
      </x:c>
      <x:c r="C6" s="159" t="str">
        <x:v>Strong</x:v>
      </x:c>
      <x:c r="D6" s="159" t="str">
        <x:v>Overall and category scores</x:v>
      </x:c>
      <x:c r="E6" s="146"/>
      <x:c r="F6" s="146"/>
      <x:c r="G6" s="146"/>
      <x:c r="H6" s="146"/>
      <x:c r="I6" s="146"/>
      <x:c r="J6" s="146"/>
    </x:row>
    <x:row r="7">
      <x:c r="A7" s="159" t="n">
        <x:v>60</x:v>
      </x:c>
      <x:c r="B7" s="159" t="n">
        <x:v>79</x:v>
      </x:c>
      <x:c r="C7" s="159" t="str">
        <x:v>Developing well</x:v>
      </x:c>
      <x:c r="D7" s="159" t="str">
        <x:v>Overall and category scores</x:v>
      </x:c>
      <x:c r="E7" s="146"/>
      <x:c r="F7" s="146"/>
      <x:c r="G7" s="146"/>
      <x:c r="H7" s="146"/>
      <x:c r="I7" s="146"/>
      <x:c r="J7" s="146"/>
    </x:row>
    <x:row r="8">
      <x:c r="A8" s="159" t="n">
        <x:v>40</x:v>
      </x:c>
      <x:c r="B8" s="159" t="n">
        <x:v>59</x:v>
      </x:c>
      <x:c r="C8" s="159" t="str">
        <x:v>Could improve</x:v>
      </x:c>
      <x:c r="D8" s="159" t="str">
        <x:v>Overall and category scores</x:v>
      </x:c>
      <x:c r="E8" s="146"/>
      <x:c r="F8" s="146"/>
      <x:c r="G8" s="146"/>
      <x:c r="H8" s="146"/>
      <x:c r="I8" s="146"/>
      <x:c r="J8" s="146"/>
    </x:row>
    <x:row r="9">
      <x:c r="A9" s="159" t="n">
        <x:v>0</x:v>
      </x:c>
      <x:c r="B9" s="159" t="n">
        <x:v>39</x:v>
      </x:c>
      <x:c r="C9" s="159" t="str">
        <x:v>Needs attention</x:v>
      </x:c>
      <x:c r="D9" s="159" t="str">
        <x:v>Overall and category scores</x:v>
      </x:c>
      <x:c r="E9" s="146"/>
      <x:c r="F9" s="146"/>
      <x:c r="G9" s="146"/>
      <x:c r="H9" s="146"/>
      <x:c r="I9" s="146"/>
      <x:c r="J9" s="146"/>
    </x:row>
    <x:row r="10">
      <x:c r="A10" s="146"/>
      <x:c r="B10" s="146"/>
      <x:c r="C10" s="146"/>
      <x:c r="D10" s="146"/>
      <x:c r="E10" s="146"/>
      <x:c r="F10" s="146"/>
      <x:c r="G10" s="146"/>
      <x:c r="H10" s="146"/>
      <x:c r="I10" s="146"/>
      <x:c r="J10" s="146"/>
    </x:row>
    <x:row r="11" ht="24" customHeight="1">
      <x:c r="A11" s="136" t="str">
        <x:v>Category Calculation and Summary Rules</x:v>
      </x:c>
      <x:c r="B11" s="136"/>
      <x:c r="C11" s="136"/>
      <x:c r="D11" s="136"/>
      <x:c r="E11" s="136"/>
      <x:c r="F11" s="136"/>
      <x:c r="G11" s="136"/>
      <x:c r="H11" s="136"/>
      <x:c r="I11" s="136"/>
      <x:c r="J11" s="136"/>
    </x:row>
    <x:row r="12" ht="34" customHeight="1">
      <x:c r="A12" s="158" t="str">
        <x:v>Category ID</x:v>
      </x:c>
      <x:c r="B12" s="158" t="str">
        <x:v>Display Label</x:v>
      </x:c>
      <x:c r="C12" s="158" t="str">
        <x:v>Questions</x:v>
      </x:c>
      <x:c r="D12" s="158" t="str">
        <x:v>Included in Overall?</x:v>
      </x:c>
      <x:c r="E12" s="158" t="str">
        <x:v>Displayed on Results?</x:v>
      </x:c>
      <x:c r="F12" s="158" t="str">
        <x:v>Summary Threshold</x:v>
      </x:c>
      <x:c r="G12" s="158" t="str">
        <x:v>Summary if &gt;=70</x:v>
      </x:c>
      <x:c r="H12" s="158" t="str">
        <x:v>Summary if &lt;70</x:v>
      </x:c>
      <x:c r="I12" s="158" t="str">
        <x:v>Dietitian Review</x:v>
      </x:c>
      <x:c r="J12" s="158" t="str">
        <x:v>Status</x:v>
      </x:c>
    </x:row>
    <x:row r="13" ht="66" customHeight="1">
      <x:c r="A13" s="159" t="str">
        <x:v>fibre</x:v>
      </x:c>
      <x:c r="B13" s="159" t="str">
        <x:v>Fibre Habits</x:v>
      </x:c>
      <x:c r="C13" s="159" t="str">
        <x:v>wholegrains, legumes</x:v>
      </x:c>
      <x:c r="D13" s="159" t="str">
        <x:v>Yes</x:v>
      </x:c>
      <x:c r="E13" s="159" t="str">
        <x:v>Yes</x:v>
      </x:c>
      <x:c r="F13" s="159" t="n">
        <x:v>70</x:v>
      </x:c>
      <x:c r="G13" s="159" t="str">
        <x:v>Your fibre habits appear positive. Continuing to include wholegrains, legumes, fruit, and vegetables can support a balanced diet.</x:v>
      </x:c>
      <x:c r="H13" s="159" t="str">
        <x:v>Your fibre intake appears lower than ideal. Increasing wholegrains, legumes, fruit, and vegetables may help support digestive health.</x:v>
      </x:c>
      <x:c r="I13" s="165" t="str"/>
      <x:c r="J13" s="165" t="str">
        <x:v>Not reviewed</x:v>
      </x:c>
    </x:row>
    <x:row r="14" ht="66" customHeight="1">
      <x:c r="A14" s="159" t="str">
        <x:v>protein</x:v>
      </x:c>
      <x:c r="B14" s="159" t="str">
        <x:v>Protein Habits</x:v>
      </x:c>
      <x:c r="C14" s="159" t="str">
        <x:v>proteinFrequency, proteinMeals</x:v>
      </x:c>
      <x:c r="D14" s="159" t="str">
        <x:v>Yes</x:v>
      </x:c>
      <x:c r="E14" s="159" t="str">
        <x:v>Yes</x:v>
      </x:c>
      <x:c r="F14" s="159" t="n">
        <x:v>70</x:v>
      </x:c>
      <x:c r="G14" s="159" t="str">
        <x:v>Your protein habits appear strong and are likely supporting satiety and muscle maintenance.</x:v>
      </x:c>
      <x:c r="H14" s="159" t="str">
        <x:v>Your protein intake could be more consistent. Adding a protein source to more meals may help meals feel more balanced.</x:v>
      </x:c>
      <x:c r="I14" s="165" t="str"/>
      <x:c r="J14" s="165" t="str">
        <x:v>Not reviewed</x:v>
      </x:c>
    </x:row>
    <x:row r="15" ht="66" customHeight="1">
      <x:c r="A15" s="159" t="str">
        <x:v>fruitVegetables</x:v>
      </x:c>
      <x:c r="B15" s="159" t="str">
        <x:v>Fruit &amp; Vegetable Intake</x:v>
      </x:c>
      <x:c r="C15" s="159" t="str">
        <x:v>fruitPortions, vegetablePortions</x:v>
      </x:c>
      <x:c r="D15" s="159" t="str">
        <x:v>Yes</x:v>
      </x:c>
      <x:c r="E15" s="159" t="str">
        <x:v>Yes</x:v>
      </x:c>
      <x:c r="F15" s="159" t="n">
        <x:v>70</x:v>
      </x:c>
      <x:c r="G15" s="159" t="str">
        <x:v>Your fruit and vegetable intake appears supportive of good overall diet quality.</x:v>
      </x:c>
      <x:c r="H15" s="159" t="str">
        <x:v>Your fruit and vegetable intake could be increased. Small additions across the day can make this easier to sustain.</x:v>
      </x:c>
      <x:c r="I15" s="165" t="str"/>
      <x:c r="J15" s="165" t="str">
        <x:v>Not reviewed</x:v>
      </x:c>
    </x:row>
    <x:row r="16" ht="66" customHeight="1">
      <x:c r="A16" s="159" t="str">
        <x:v>hydration</x:v>
      </x:c>
      <x:c r="B16" s="159" t="str">
        <x:v>Hydration Habits</x:v>
      </x:c>
      <x:c r="C16" s="159" t="str">
        <x:v>fluidIntake, sugaryDrinks</x:v>
      </x:c>
      <x:c r="D16" s="159" t="str">
        <x:v>Yes</x:v>
      </x:c>
      <x:c r="E16" s="159" t="str">
        <x:v>Yes</x:v>
      </x:c>
      <x:c r="F16" s="159" t="n">
        <x:v>70</x:v>
      </x:c>
      <x:c r="G16" s="159" t="str">
        <x:v>Your hydration habits appear supportive. Keeping water available during the day can help maintain this routine.</x:v>
      </x:c>
      <x:c r="H16" s="159" t="str">
        <x:v>Your hydration habits could be improved by increasing daily fluid intake and choosing unsweetened drinks more often.</x:v>
      </x:c>
      <x:c r="I16" s="165" t="str"/>
      <x:c r="J16" s="165" t="str">
        <x:v>Not reviewed</x:v>
      </x:c>
    </x:row>
    <x:row r="17" ht="66" customHeight="1">
      <x:c r="A17" s="159" t="str">
        <x:v>lifestyle</x:v>
      </x:c>
      <x:c r="B17" s="159" t="str">
        <x:v>Lifestyle Habits</x:v>
      </x:c>
      <x:c r="C17" s="159" t="str">
        <x:v>activityDays, sleepQuality</x:v>
      </x:c>
      <x:c r="D17" s="159" t="str">
        <x:v>Yes</x:v>
      </x:c>
      <x:c r="E17" s="159" t="str">
        <x:v>Yes</x:v>
      </x:c>
      <x:c r="F17" s="159" t="n">
        <x:v>70</x:v>
      </x:c>
      <x:c r="G17" s="159" t="str">
        <x:v>Your activity and sleep habits appear to be supporting your general wellbeing.</x:v>
      </x:c>
      <x:c r="H17" s="159" t="str">
        <x:v>Your lifestyle habits may benefit from more regular movement and attention to sleep quality.</x:v>
      </x:c>
      <x:c r="I17" s="165" t="str"/>
      <x:c r="J17" s="165" t="str">
        <x:v>Not reviewed</x:v>
      </x:c>
    </x:row>
    <x:row r="18" ht="66" customHeight="1">
      <x:c r="A18" s="159" t="str">
        <x:v>mealPatterns</x:v>
      </x:c>
      <x:c r="B18" s="159" t="str">
        <x:v>Meal Regularity</x:v>
      </x:c>
      <x:c r="C18" s="159" t="str">
        <x:v>breakfast, skippingMeals, regularTimes</x:v>
      </x:c>
      <x:c r="D18" s="159" t="str">
        <x:v>No</x:v>
      </x:c>
      <x:c r="E18" s="159" t="str">
        <x:v>No</x:v>
      </x:c>
      <x:c r="F18" s="159" t="n">
        <x:v>70</x:v>
      </x:c>
      <x:c r="G18" s="159" t="str">
        <x:v>Your meal routine appears steady, which can make balanced nutrition easier to maintain.</x:v>
      </x:c>
      <x:c r="H18" s="159" t="str">
        <x:v>Your meal routine could be more regular. Planning simple meals or snacks may help reduce skipped meals.</x:v>
      </x:c>
      <x:c r="I18" s="165" t="str"/>
      <x:c r="J18" s="165" t="str">
        <x:v>Not reviewed</x:v>
      </x:c>
    </x:row>
    <x:row r="19">
      <x:c r="A19" s="146"/>
      <x:c r="B19" s="146"/>
      <x:c r="C19" s="146"/>
      <x:c r="D19" s="146"/>
      <x:c r="E19" s="146"/>
      <x:c r="F19" s="146"/>
      <x:c r="G19" s="146"/>
      <x:c r="H19" s="146"/>
      <x:c r="I19" s="146"/>
      <x:c r="J19" s="146"/>
    </x:row>
    <x:row r="20" ht="24" customHeight="1">
      <x:c r="A20" s="136" t="str">
        <x:v>Overall Score and Summary</x:v>
      </x:c>
      <x:c r="B20" s="136"/>
      <x:c r="C20" s="136"/>
      <x:c r="D20" s="136"/>
      <x:c r="E20" s="136"/>
      <x:c r="F20" s="136"/>
      <x:c r="G20" s="136"/>
      <x:c r="H20" s="136"/>
      <x:c r="I20" s="136"/>
      <x:c r="J20" s="136"/>
    </x:row>
    <x:row r="21" ht="34" customHeight="1">
      <x:c r="A21" s="158" t="str">
        <x:v>Rule</x:v>
      </x:c>
      <x:c r="B21" s="158" t="str">
        <x:v>Current implementation</x:v>
      </x:c>
      <x:c r="C21" s="158" t="str">
        <x:v>Clinical review note</x:v>
      </x:c>
      <x:c r="D21" s="158" t="str"/>
      <x:c r="E21" s="158" t="str"/>
      <x:c r="F21" s="158" t="str"/>
      <x:c r="G21" s="158" t="str"/>
      <x:c r="H21" s="158" t="str"/>
      <x:c r="I21" s="158" t="str"/>
      <x:c r="J21" s="158" t="str"/>
    </x:row>
    <x:row r="22" ht="42" customHeight="1">
      <x:c r="A22" s="159" t="str">
        <x:v>Overall score</x:v>
      </x:c>
      <x:c r="B22" s="159" t="str">
        <x:v>Rounded mean of fibre, protein, fruitVegetables, hydration, and lifestyle category scores.</x:v>
      </x:c>
      <x:c r="C22" s="159" t="str"/>
      <x:c r="D22" s="159" t="str"/>
      <x:c r="E22" s="159" t="str"/>
      <x:c r="F22" s="159" t="str"/>
      <x:c r="G22" s="165" t="str"/>
      <x:c r="H22" s="165" t="str"/>
      <x:c r="I22" s="165" t="str"/>
      <x:c r="J22" s="165" t="str"/>
    </x:row>
    <x:row r="23" ht="42" customHeight="1">
      <x:c r="A23" s="159" t="str">
        <x:v>Excluded category</x:v>
      </x:c>
      <x:c r="B23" s="159" t="str">
        <x:v>mealPatterns is calculated and can trigger advice, but is not shown as a result card and is excluded from the overall score.</x:v>
      </x:c>
      <x:c r="C23" s="159" t="str"/>
      <x:c r="D23" s="159" t="str"/>
      <x:c r="E23" s="159" t="str"/>
      <x:c r="F23" s="159" t="str"/>
      <x:c r="G23" s="165" t="str"/>
      <x:c r="H23" s="165" t="str"/>
      <x:c r="I23" s="165" t="str"/>
      <x:c r="J23" s="165" t="str"/>
    </x:row>
    <x:row r="24" ht="42" customHeight="1">
      <x:c r="A24" s="159" t="str">
        <x:v>Overall summary</x:v>
      </x:c>
      <x:c r="B24" s="159" t="str">
        <x:v>Score &gt;=70: supportive nutrition pattern. Score &lt;70: several realistic opportunities to strengthen everyday nutrition habits.</x:v>
      </x:c>
      <x:c r="C24" s="159" t="str"/>
      <x:c r="D24" s="159" t="str"/>
      <x:c r="E24" s="159" t="str"/>
      <x:c r="F24" s="159" t="str"/>
      <x:c r="G24" s="165" t="str"/>
      <x:c r="H24" s="165" t="str"/>
      <x:c r="I24" s="165" t="str"/>
      <x:c r="J24" s="165" t="str"/>
    </x:row>
    <x:row r="25">
      <x:c r="A25" s="146"/>
      <x:c r="B25" s="146"/>
      <x:c r="C25" s="146"/>
      <x:c r="D25" s="146"/>
      <x:c r="E25" s="146"/>
      <x:c r="F25" s="146"/>
      <x:c r="G25" s="146"/>
      <x:c r="H25" s="146"/>
      <x:c r="I25" s="146"/>
      <x:c r="J25" s="146"/>
    </x:row>
    <x:row r="26" ht="24" customHeight="1">
      <x:c r="A26" s="136" t="str">
        <x:v>Recommendation Rules</x:v>
      </x:c>
      <x:c r="B26" s="136"/>
      <x:c r="C26" s="136"/>
      <x:c r="D26" s="136"/>
      <x:c r="E26" s="136"/>
      <x:c r="F26" s="136"/>
      <x:c r="G26" s="136"/>
      <x:c r="H26" s="136"/>
      <x:c r="I26" s="136"/>
      <x:c r="J26" s="136"/>
    </x:row>
    <x:row r="27" ht="34" customHeight="1">
      <x:c r="A27" s="158" t="str">
        <x:v>Order</x:v>
      </x:c>
      <x:c r="B27" s="158" t="str">
        <x:v>Category</x:v>
      </x:c>
      <x:c r="C27" s="158" t="str">
        <x:v>Trigger</x:v>
      </x:c>
      <x:c r="D27" s="158" t="str">
        <x:v>Advice Displayed</x:v>
      </x:c>
      <x:c r="E27" s="158" t="str">
        <x:v>Maximum Displayed</x:v>
      </x:c>
      <x:c r="F27" s="158" t="str">
        <x:v>Fallback Rule</x:v>
      </x:c>
      <x:c r="G27" s="158" t="str">
        <x:v>Clinical Rationale / Evidence</x:v>
      </x:c>
      <x:c r="H27" s="158" t="str">
        <x:v>Safety Concern</x:v>
      </x:c>
      <x:c r="I27" s="158" t="str">
        <x:v>Recommended Revision</x:v>
      </x:c>
      <x:c r="J27" s="158" t="str">
        <x:v>Status</x:v>
      </x:c>
    </x:row>
    <x:row r="28" ht="54" customHeight="1">
      <x:c r="A28" s="159" t="n">
        <x:v>1</x:v>
      </x:c>
      <x:c r="B28" s="159" t="str">
        <x:v>fruitVegetables</x:v>
      </x:c>
      <x:c r="C28" s="159" t="str">
        <x:v>Category score &lt;75</x:v>
      </x:c>
      <x:c r="D28" s="159" t="str">
        <x:v>Add an extra serving of vegetables to lunch or dinner.</x:v>
      </x:c>
      <x:c r="E28" s="159" t="str">
        <x:v>First 5 recommendations</x:v>
      </x:c>
      <x:c r="F28" s="159" t="str">
        <x:v>If fewer than 3 category rules trigger, append generic balanced-meal advice.</x:v>
      </x:c>
      <x:c r="G28" s="165" t="str"/>
      <x:c r="H28" s="166" t="str"/>
      <x:c r="I28" s="165" t="str"/>
      <x:c r="J28" s="165" t="str">
        <x:v>Not reviewed</x:v>
      </x:c>
    </x:row>
    <x:row r="29" ht="54" customHeight="1">
      <x:c r="A29" s="159" t="n">
        <x:v>2</x:v>
      </x:c>
      <x:c r="B29" s="159" t="str">
        <x:v>fibre</x:v>
      </x:c>
      <x:c r="C29" s="159" t="str">
        <x:v>Category score &lt;75</x:v>
      </x:c>
      <x:c r="D29" s="159" t="str">
        <x:v>Choose wholegrain options more often, such as oats, wholegrain bread, brown rice, or wholegrain pasta.</x:v>
      </x:c>
      <x:c r="E29" s="159" t="str">
        <x:v>First 5 recommendations</x:v>
      </x:c>
      <x:c r="F29" s="159" t="str"/>
      <x:c r="G29" s="165" t="str"/>
      <x:c r="H29" s="166" t="str"/>
      <x:c r="I29" s="165" t="str"/>
      <x:c r="J29" s="165" t="str">
        <x:v>Not reviewed</x:v>
      </x:c>
    </x:row>
    <x:row r="30" ht="54" customHeight="1">
      <x:c r="A30" s="159" t="n">
        <x:v>3</x:v>
      </x:c>
      <x:c r="B30" s="159" t="str">
        <x:v>protein</x:v>
      </x:c>
      <x:c r="C30" s="159" t="str">
        <x:v>Category score &lt;75</x:v>
      </x:c>
      <x:c r="D30" s="159" t="str">
        <x:v>Include a protein source with breakfast or your least balanced meal of the day.</x:v>
      </x:c>
      <x:c r="E30" s="159" t="str">
        <x:v>First 5 recommendations</x:v>
      </x:c>
      <x:c r="F30" s="159" t="str"/>
      <x:c r="G30" s="165" t="str"/>
      <x:c r="H30" s="166" t="str"/>
      <x:c r="I30" s="165" t="str"/>
      <x:c r="J30" s="165" t="str">
        <x:v>Not reviewed</x:v>
      </x:c>
    </x:row>
    <x:row r="31" ht="54" customHeight="1">
      <x:c r="A31" s="159" t="n">
        <x:v>4</x:v>
      </x:c>
      <x:c r="B31" s="159" t="str">
        <x:v>hydration</x:v>
      </x:c>
      <x:c r="C31" s="159" t="str">
        <x:v>Category score &lt;75</x:v>
      </x:c>
      <x:c r="D31" s="159" t="str">
        <x:v>Carry a reusable water bottle to make regular fluid intake easier.</x:v>
      </x:c>
      <x:c r="E31" s="159" t="str">
        <x:v>First 5 recommendations</x:v>
      </x:c>
      <x:c r="F31" s="159" t="str"/>
      <x:c r="G31" s="165" t="str"/>
      <x:c r="H31" s="166" t="str"/>
      <x:c r="I31" s="165" t="str"/>
      <x:c r="J31" s="165" t="str">
        <x:v>Not reviewed</x:v>
      </x:c>
    </x:row>
    <x:row r="32" ht="54" customHeight="1">
      <x:c r="A32" s="159" t="n">
        <x:v>5</x:v>
      </x:c>
      <x:c r="B32" s="159" t="str">
        <x:v>lifestyle</x:v>
      </x:c>
      <x:c r="C32" s="159" t="str">
        <x:v>Category score &lt;75</x:v>
      </x:c>
      <x:c r="D32" s="159" t="str">
        <x:v>Plan short, realistic activity sessions during the week and keep a consistent wind-down routine when possible.</x:v>
      </x:c>
      <x:c r="E32" s="159" t="str">
        <x:v>First 5 recommendations</x:v>
      </x:c>
      <x:c r="F32" s="159" t="str"/>
      <x:c r="G32" s="165" t="str"/>
      <x:c r="H32" s="166" t="str"/>
      <x:c r="I32" s="165" t="str"/>
      <x:c r="J32" s="165" t="str">
        <x:v>Not reviewed</x:v>
      </x:c>
    </x:row>
    <x:row r="33" ht="54" customHeight="1">
      <x:c r="A33" s="159" t="n">
        <x:v>6</x:v>
      </x:c>
      <x:c r="B33" s="159" t="str">
        <x:v>mealPatterns</x:v>
      </x:c>
      <x:c r="C33" s="159" t="str">
        <x:v>Category score &lt;75</x:v>
      </x:c>
      <x:c r="D33" s="159" t="str">
        <x:v>Keep one simple backup meal or snack available for busier days.</x:v>
      </x:c>
      <x:c r="E33" s="159" t="str">
        <x:v>First 5 recommendations</x:v>
      </x:c>
      <x:c r="F33" s="159" t="str"/>
      <x:c r="G33" s="165" t="str"/>
      <x:c r="H33" s="166" t="str"/>
      <x:c r="I33" s="165" t="str"/>
      <x:c r="J33" s="165" t="str">
        <x:v>Not reviewed</x:v>
      </x:c>
    </x:row>
    <x:row r="34" ht="54" customHeight="1">
      <x:c r="A34" s="159" t="n">
        <x:v>7</x:v>
      </x:c>
      <x:c r="B34" s="159" t="str">
        <x:v>Generic fallback</x:v>
      </x:c>
      <x:c r="C34" s="159" t="str">
        <x:v>Fewer than 3 category recommendations</x:v>
      </x:c>
      <x:c r="D34" s="159" t="str">
        <x:v>Keep building meals around vegetables, protein-rich foods, wholegrains, and regular fluids.</x:v>
      </x:c>
      <x:c r="E34" s="159" t="str">
        <x:v>Still limited to first 5</x:v>
      </x:c>
      <x:c r="F34" s="159" t="str">
        <x:v>Appended after category rules</x:v>
      </x:c>
      <x:c r="G34" s="165" t="str"/>
      <x:c r="H34" s="166" t="str"/>
      <x:c r="I34" s="165" t="str"/>
      <x:c r="J34" s="165" t="str">
        <x:v>Not reviewed</x:v>
      </x:c>
    </x:row>
  </x:sheetData>
  <x:mergeCells>
    <x:mergeCell ref="A1:J1"/>
    <x:mergeCell ref="A2:J3"/>
    <x:mergeCell ref="A4:D4"/>
    <x:mergeCell ref="A11:J11"/>
    <x:mergeCell ref="A20:J20"/>
    <x:mergeCell ref="B21:F21"/>
    <x:mergeCell ref="G21:J21"/>
    <x:mergeCell ref="B22:F22"/>
    <x:mergeCell ref="G22:J22"/>
    <x:mergeCell ref="B23:F23"/>
    <x:mergeCell ref="G23:J23"/>
    <x:mergeCell ref="B24:F24"/>
    <x:mergeCell ref="G24:J24"/>
    <x:mergeCell ref="A26:J26"/>
  </x:mergeCells>
  <x:dataValidations count="2">
    <x:dataValidation type="list" sqref="J13:J18">
      <x:formula1>"Not reviewed,Needs changes,Approved,Clinical concern"</x:formula1>
    </x:dataValidation>
    <x:dataValidation type="list" sqref="J28:J34">
      <x:formula1>"Not reviewed,Needs changes,Approved,Clinical concern"</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28" hidden="0" customWidth="1"/>
    <x:col min="4" max="4" width="40" hidden="0" customWidth="1"/>
    <x:col min="5" max="5" width="36" hidden="0" customWidth="1"/>
    <x:col min="6" max="6" width="24" hidden="0" customWidth="1"/>
    <x:col min="7" max="7" width="25" hidden="0" customWidth="1"/>
    <x:col min="8" max="8" width="28" hidden="0" customWidth="1"/>
    <x:col min="9" max="9" width="34" hidden="0" customWidth="1"/>
    <x:col min="10" max="10" width="20" hidden="0" customWidth="1"/>
  </x:cols>
  <x:sheetData>
    <x:row r="1" ht="34" customHeight="1">
      <x:c r="A1" s="134" t="str">
        <x:v>Assessment Flow Map</x:v>
      </x:c>
      <x:c r="B1" s="134"/>
      <x:c r="C1" s="134"/>
      <x:c r="D1" s="134"/>
      <x:c r="E1" s="134"/>
      <x:c r="F1" s="134"/>
      <x:c r="G1" s="134"/>
      <x:c r="H1" s="134"/>
      <x:c r="I1" s="134"/>
      <x:c r="J1" s="134"/>
    </x:row>
    <x:row r="2" ht="28" customHeight="1">
      <x:c r="A2" s="135" t="str">
        <x:v>The current journey is linear. No question or answer changes the next step, skips a step, or branches to different advice.</x:v>
      </x:c>
      <x:c r="B2" s="135"/>
      <x:c r="C2" s="135"/>
      <x:c r="D2" s="135"/>
      <x:c r="E2" s="135"/>
      <x:c r="F2" s="135"/>
      <x:c r="G2" s="135"/>
      <x:c r="H2" s="135"/>
      <x:c r="I2" s="135"/>
      <x:c r="J2" s="135"/>
    </x:row>
    <x:row r="3" ht="28" customHeight="1">
      <x:c r="A3" s="135"/>
      <x:c r="B3" s="135"/>
      <x:c r="C3" s="135"/>
      <x:c r="D3" s="135"/>
      <x:c r="E3" s="135"/>
      <x:c r="F3" s="135"/>
      <x:c r="G3" s="135"/>
      <x:c r="H3" s="135"/>
      <x:c r="I3" s="135"/>
      <x:c r="J3" s="135"/>
    </x:row>
    <x:row r="4" ht="24" customHeight="1">
      <x:c r="A4" s="136" t="str">
        <x:v>Current Linear Flow</x:v>
      </x:c>
      <x:c r="B4" s="136"/>
      <x:c r="C4" s="136"/>
      <x:c r="D4" s="136"/>
      <x:c r="E4" s="136"/>
      <x:c r="F4" s="136"/>
      <x:c r="G4" s="136"/>
      <x:c r="H4" s="136"/>
      <x:c r="I4" s="136"/>
      <x:c r="J4" s="136"/>
    </x:row>
    <x:row r="5" ht="34" customHeight="1">
      <x:c r="A5" s="158" t="str">
        <x:v>Sequence</x:v>
      </x:c>
      <x:c r="B5" s="158" t="str">
        <x:v>Screen / Step ID</x:v>
      </x:c>
      <x:c r="C5" s="158" t="str">
        <x:v>Title</x:v>
      </x:c>
      <x:c r="D5" s="158" t="str">
        <x:v>Questions</x:v>
      </x:c>
      <x:c r="E5" s="158" t="str">
        <x:v>Required to Continue</x:v>
      </x:c>
      <x:c r="F5" s="158" t="str">
        <x:v>Optional Questions</x:v>
      </x:c>
      <x:c r="G5" s="158" t="str">
        <x:v>Next Destination</x:v>
      </x:c>
      <x:c r="H5" s="158" t="str">
        <x:v>Answer-dependent Branch?</x:v>
      </x:c>
      <x:c r="I5" s="158" t="str">
        <x:v>Review Notes</x:v>
      </x:c>
      <x:c r="J5" s="158" t="str">
        <x:v>Status</x:v>
      </x:c>
    </x:row>
    <x:row r="6" ht="54" customHeight="1">
      <x:c r="A6" s="159" t="n">
        <x:v>0</x:v>
      </x:c>
      <x:c r="B6" s="159" t="str">
        <x:v>contact</x:v>
      </x:c>
      <x:c r="C6" s="159" t="str">
        <x:v>Contact details</x:v>
      </x:c>
      <x:c r="D6" s="159" t="str">
        <x:v>First name, last name, email; newsletter opt-in optional</x:v>
      </x:c>
      <x:c r="E6" s="159" t="str">
        <x:v>Valid name and email</x:v>
      </x:c>
      <x:c r="F6" s="159" t="str">
        <x:v>Newsletter opt-in</x:v>
      </x:c>
      <x:c r="G6" s="159" t="str">
        <x:v>basics</x:v>
      </x:c>
      <x:c r="H6" s="159" t="str">
        <x:v>No</x:v>
      </x:c>
      <x:c r="I6" s="165" t="str"/>
      <x:c r="J6" s="165" t="str">
        <x:v>Not reviewed</x:v>
      </x:c>
    </x:row>
    <x:row r="7" ht="54" customHeight="1">
      <x:c r="A7" s="159" t="n">
        <x:v>1</x:v>
      </x:c>
      <x:c r="B7" s="159" t="str">
        <x:v>basics</x:v>
      </x:c>
      <x:c r="C7" s="159" t="str">
        <x:v>Basic information</x:v>
      </x:c>
      <x:c r="D7" s="159" t="str">
        <x:v>ageRange, gender, mainGoal</x:v>
      </x:c>
      <x:c r="E7" s="159" t="str">
        <x:v>ageRange, mainGoal</x:v>
      </x:c>
      <x:c r="F7" s="159" t="str">
        <x:v>gender</x:v>
      </x:c>
      <x:c r="G7" s="159" t="str">
        <x:v>fruit-vegetables</x:v>
      </x:c>
      <x:c r="H7" s="159" t="str">
        <x:v>No</x:v>
      </x:c>
      <x:c r="I7" s="165" t="str"/>
      <x:c r="J7" s="165" t="str">
        <x:v>Not reviewed</x:v>
      </x:c>
    </x:row>
    <x:row r="8" ht="54" customHeight="1">
      <x:c r="A8" s="159" t="n">
        <x:v>2</x:v>
      </x:c>
      <x:c r="B8" s="159" t="str">
        <x:v>fruit-vegetables</x:v>
      </x:c>
      <x:c r="C8" s="159" t="str">
        <x:v>Fruit and vegetable intake</x:v>
      </x:c>
      <x:c r="D8" s="159" t="str">
        <x:v>fruitPortions, vegetablePortions</x:v>
      </x:c>
      <x:c r="E8" s="159" t="str">
        <x:v>fruitPortions, vegetablePortions</x:v>
      </x:c>
      <x:c r="F8" s="159" t="str">
        <x:v>None</x:v>
      </x:c>
      <x:c r="G8" s="159" t="str">
        <x:v>fibre-wholegrains</x:v>
      </x:c>
      <x:c r="H8" s="159" t="str">
        <x:v>No</x:v>
      </x:c>
      <x:c r="I8" s="165" t="str"/>
      <x:c r="J8" s="165" t="str">
        <x:v>Not reviewed</x:v>
      </x:c>
    </x:row>
    <x:row r="9" ht="54" customHeight="1">
      <x:c r="A9" s="159" t="n">
        <x:v>3</x:v>
      </x:c>
      <x:c r="B9" s="159" t="str">
        <x:v>fibre-wholegrains</x:v>
      </x:c>
      <x:c r="C9" s="159" t="str">
        <x:v>Fibre and wholegrains</x:v>
      </x:c>
      <x:c r="D9" s="159" t="str">
        <x:v>wholegrains, legumes</x:v>
      </x:c>
      <x:c r="E9" s="159" t="str">
        <x:v>wholegrains, legumes</x:v>
      </x:c>
      <x:c r="F9" s="159" t="str">
        <x:v>None</x:v>
      </x:c>
      <x:c r="G9" s="159" t="str">
        <x:v>protein</x:v>
      </x:c>
      <x:c r="H9" s="159" t="str">
        <x:v>No</x:v>
      </x:c>
      <x:c r="I9" s="165" t="str"/>
      <x:c r="J9" s="165" t="str">
        <x:v>Not reviewed</x:v>
      </x:c>
    </x:row>
    <x:row r="10" ht="54" customHeight="1">
      <x:c r="A10" s="159" t="n">
        <x:v>4</x:v>
      </x:c>
      <x:c r="B10" s="159" t="str">
        <x:v>protein</x:v>
      </x:c>
      <x:c r="C10" s="159" t="str">
        <x:v>Protein habits</x:v>
      </x:c>
      <x:c r="D10" s="159" t="str">
        <x:v>proteinFrequency, proteinMeals</x:v>
      </x:c>
      <x:c r="E10" s="159" t="str">
        <x:v>proteinFrequency, proteinMeals</x:v>
      </x:c>
      <x:c r="F10" s="159" t="str">
        <x:v>None</x:v>
      </x:c>
      <x:c r="G10" s="159" t="str">
        <x:v>hydration</x:v>
      </x:c>
      <x:c r="H10" s="159" t="str">
        <x:v>No</x:v>
      </x:c>
      <x:c r="I10" s="165" t="str"/>
      <x:c r="J10" s="165" t="str">
        <x:v>Not reviewed</x:v>
      </x:c>
    </x:row>
    <x:row r="11" ht="54" customHeight="1">
      <x:c r="A11" s="159" t="n">
        <x:v>5</x:v>
      </x:c>
      <x:c r="B11" s="159" t="str">
        <x:v>hydration</x:v>
      </x:c>
      <x:c r="C11" s="159" t="str">
        <x:v>Hydration</x:v>
      </x:c>
      <x:c r="D11" s="159" t="str">
        <x:v>fluidIntake, sugaryDrinks</x:v>
      </x:c>
      <x:c r="E11" s="159" t="str">
        <x:v>fluidIntake, sugaryDrinks</x:v>
      </x:c>
      <x:c r="F11" s="159" t="str">
        <x:v>None</x:v>
      </x:c>
      <x:c r="G11" s="159" t="str">
        <x:v>meal-patterns</x:v>
      </x:c>
      <x:c r="H11" s="159" t="str">
        <x:v>No</x:v>
      </x:c>
      <x:c r="I11" s="165" t="str"/>
      <x:c r="J11" s="165" t="str">
        <x:v>Not reviewed</x:v>
      </x:c>
    </x:row>
    <x:row r="12" ht="54" customHeight="1">
      <x:c r="A12" s="159" t="n">
        <x:v>6</x:v>
      </x:c>
      <x:c r="B12" s="159" t="str">
        <x:v>meal-patterns</x:v>
      </x:c>
      <x:c r="C12" s="159" t="str">
        <x:v>Meal patterns</x:v>
      </x:c>
      <x:c r="D12" s="159" t="str">
        <x:v>breakfast, skippingMeals, regularTimes</x:v>
      </x:c>
      <x:c r="E12" s="159" t="str">
        <x:v>breakfast, skippingMeals, regularTimes</x:v>
      </x:c>
      <x:c r="F12" s="159" t="str">
        <x:v>None</x:v>
      </x:c>
      <x:c r="G12" s="159" t="str">
        <x:v>lifestyle</x:v>
      </x:c>
      <x:c r="H12" s="159" t="str">
        <x:v>No</x:v>
      </x:c>
      <x:c r="I12" s="165" t="str"/>
      <x:c r="J12" s="165" t="str">
        <x:v>Not reviewed</x:v>
      </x:c>
    </x:row>
    <x:row r="13" ht="54" customHeight="1">
      <x:c r="A13" s="159" t="n">
        <x:v>7</x:v>
      </x:c>
      <x:c r="B13" s="159" t="str">
        <x:v>lifestyle</x:v>
      </x:c>
      <x:c r="C13" s="159" t="str">
        <x:v>Lifestyle</x:v>
      </x:c>
      <x:c r="D13" s="159" t="str">
        <x:v>activityDays, sleepQuality</x:v>
      </x:c>
      <x:c r="E13" s="159" t="str">
        <x:v>activityDays, sleepQuality</x:v>
      </x:c>
      <x:c r="F13" s="159" t="str">
        <x:v>None</x:v>
      </x:c>
      <x:c r="G13" s="159" t="str">
        <x:v>Results</x:v>
      </x:c>
      <x:c r="H13" s="159" t="str">
        <x:v>No</x:v>
      </x:c>
      <x:c r="I13" s="165" t="str"/>
      <x:c r="J13" s="165" t="str">
        <x:v>Not reviewed</x:v>
      </x:c>
    </x:row>
    <x:row r="14" ht="54" customHeight="1">
      <x:c r="A14" s="159" t="n">
        <x:v>8</x:v>
      </x:c>
      <x:c r="B14" s="159" t="str">
        <x:v>results</x:v>
      </x:c>
      <x:c r="C14" s="159" t="str">
        <x:v>Results</x:v>
      </x:c>
      <x:c r="D14" s="159" t="str">
        <x:v>Overall score, five category cards, recommendations, consultation CTA</x:v>
      </x:c>
      <x:c r="E14" s="159" t="str">
        <x:v>All required assessment questions answered</x:v>
      </x:c>
      <x:c r="F14" s="159" t="str">
        <x:v>Gender may remain unanswered</x:v>
      </x:c>
      <x:c r="G14" s="159" t="str">
        <x:v>Back to answers or restart</x:v>
      </x:c>
      <x:c r="H14" s="159" t="str">
        <x:v>Advice depends on scores; navigation does not branch</x:v>
      </x:c>
      <x:c r="I14" s="165" t="str"/>
      <x:c r="J14" s="165" t="str">
        <x:v>Not reviewed</x:v>
      </x:c>
    </x:row>
  </x:sheetData>
  <x:mergeCells>
    <x:mergeCell ref="A1:J1"/>
    <x:mergeCell ref="A2:J3"/>
    <x:mergeCell ref="A4:J4"/>
  </x:mergeCells>
  <x:dataValidations count="1">
    <x:dataValidation type="list" sqref="J6:J14">
      <x:formula1>"Not reviewed,Needs changes,Approved,Clinical concern"</x:formula1>
    </x:dataValidation>
  </x:dataValidations>
  <x:pageMargins left="0.7" right="0.7" top="0.75" bottom="0.75" header="0.3" footer="0.3"/>
  <x:tableParts count="1">
    <x:tablePart xmlns:r="http://schemas.openxmlformats.org/officeDocument/2006/relationships" r:id="Rbc4a2d53bc0349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42" hidden="0" customWidth="1"/>
    <x:col min="4" max="4" width="20" hidden="0" customWidth="1"/>
    <x:col min="5" max="5" width="32" hidden="0" customWidth="1"/>
    <x:col min="6" max="6" width="20" hidden="0" customWidth="1"/>
    <x:col min="7" max="7" width="10" hidden="0" customWidth="1"/>
    <x:col min="8" max="8" width="12" hidden="0" customWidth="1"/>
    <x:col min="9" max="9" width="3" hidden="0" customWidth="1"/>
    <x:col min="10" max="10" width="14" hidden="0" customWidth="1"/>
    <x:col min="11" max="11" width="28" hidden="0" customWidth="1"/>
    <x:col min="12" max="12" width="12" hidden="0" customWidth="1"/>
    <x:col min="13" max="13" width="20" hidden="0" customWidth="1"/>
    <x:col min="14" max="14" width="20" hidden="0" customWidth="1"/>
  </x:cols>
  <x:sheetData>
    <x:row r="1" ht="34" customHeight="1">
      <x:c r="A1" s="134" t="str">
        <x:v>Scenario Tester</x:v>
      </x:c>
      <x:c r="B1" s="134"/>
      <x:c r="C1" s="134"/>
      <x:c r="D1" s="134"/>
      <x:c r="E1" s="134"/>
      <x:c r="F1" s="134"/>
      <x:c r="G1" s="134"/>
      <x:c r="H1" s="134"/>
      <x:c r="I1" s="134"/>
      <x:c r="J1" s="134"/>
      <x:c r="K1" s="134"/>
      <x:c r="L1" s="134"/>
      <x:c r="M1" s="134"/>
      <x:c r="N1" s="134"/>
    </x:row>
    <x:row r="2" ht="28" customHeight="1">
      <x:c r="A2" s="135" t="str">
        <x:v>Select answers in yellow cells. Scores, ratings, summaries, and recommendation triggers reproduce the current website logic.</x:v>
      </x:c>
      <x:c r="B2" s="135"/>
      <x:c r="C2" s="135"/>
      <x:c r="D2" s="135"/>
      <x:c r="E2" s="135"/>
      <x:c r="F2" s="135"/>
      <x:c r="G2" s="135"/>
      <x:c r="H2" s="135"/>
      <x:c r="I2" s="135"/>
      <x:c r="J2" s="135"/>
      <x:c r="K2" s="135"/>
      <x:c r="L2" s="135"/>
      <x:c r="M2" s="135"/>
      <x:c r="N2" s="135"/>
    </x:row>
    <x:row r="3" ht="28" customHeight="1">
      <x:c r="A3" s="135"/>
      <x:c r="B3" s="135"/>
      <x:c r="C3" s="135"/>
      <x:c r="D3" s="135"/>
      <x:c r="E3" s="135"/>
      <x:c r="F3" s="135"/>
      <x:c r="G3" s="135"/>
      <x:c r="H3" s="135"/>
      <x:c r="I3" s="135"/>
      <x:c r="J3" s="135"/>
      <x:c r="K3" s="135"/>
      <x:c r="L3" s="135"/>
      <x:c r="M3" s="135"/>
      <x:c r="N3" s="135"/>
    </x:row>
    <x:row r="4" ht="24" customHeight="1">
      <x:c r="A4" s="158" t="str">
        <x:v>Step</x:v>
      </x:c>
      <x:c r="B4" s="158" t="str">
        <x:v>Question ID</x:v>
      </x:c>
      <x:c r="C4" s="158" t="str">
        <x:v>Question</x:v>
      </x:c>
      <x:c r="D4" s="158" t="str">
        <x:v>Category</x:v>
      </x:c>
      <x:c r="E4" s="158" t="str">
        <x:v>Selected Answer</x:v>
      </x:c>
      <x:c r="F4" s="158" t="str">
        <x:v>Internal Value</x:v>
      </x:c>
      <x:c r="G4" s="158" t="str">
        <x:v>Score</x:v>
      </x:c>
      <x:c r="H4" s="158" t="str">
        <x:v>Requirement</x:v>
      </x:c>
      <x:c r="I4" s="146"/>
      <x:c r="J4" s="136" t="str">
        <x:v>Verified Reference Cases</x:v>
      </x:c>
      <x:c r="K4" s="136"/>
      <x:c r="L4" s="136"/>
      <x:c r="M4" s="136"/>
      <x:c r="N4" s="136"/>
    </x:row>
    <x:row r="5" ht="34" customHeight="1">
      <x:c r="A5" s="159" t="str">
        <x:v>Basic information</x:v>
      </x:c>
      <x:c r="B5" s="159" t="str">
        <x:v>ageRange</x:v>
      </x:c>
      <x:c r="C5" s="159" t="str">
        <x:v>What is your age range?</x:v>
      </x:c>
      <x:c r="D5" s="159" t="str">
        <x:v>Unscored profile</x:v>
      </x:c>
      <x:c r="E5" s="165" t="str"/>
      <x:c r="F5" s="164" t="str">
        <x:f>IF(E5="","",IFERROR(VLOOKUP(B5&amp;"|"&amp;E5,'Questions &amp; Answers'!$A$5:$J$71,10,FALSE),""))</x:f>
      </x:c>
      <x:c r="G5" s="164" t="str">
        <x:f>IF(E5="","",IFERROR(VLOOKUP(B5&amp;"|"&amp;E5,'Questions &amp; Answers'!$A$5:$K$71,11,FALSE),""))</x:f>
      </x:c>
      <x:c r="H5" s="159" t="str">
        <x:v>Required</x:v>
      </x:c>
      <x:c r="I5" s="146"/>
      <x:c r="J5" s="158" t="str">
        <x:v>Case</x:v>
      </x:c>
      <x:c r="K5" s="158" t="str">
        <x:v>Answer Pattern</x:v>
      </x:c>
      <x:c r="L5" s="158" t="str">
        <x:v>Overall</x:v>
      </x:c>
      <x:c r="M5" s="158" t="str">
        <x:v>Rating</x:v>
      </x:c>
      <x:c r="N5" s="158" t="str">
        <x:v>Recommendation Count</x:v>
      </x:c>
    </x:row>
    <x:row r="6" ht="42" customHeight="1">
      <x:c r="A6" s="159" t="str">
        <x:v>Basic information</x:v>
      </x:c>
      <x:c r="B6" s="159" t="str">
        <x:v>gender</x:v>
      </x:c>
      <x:c r="C6" s="159" t="str">
        <x:v>Gender</x:v>
      </x:c>
      <x:c r="D6" s="159" t="str">
        <x:v>Unscored profile</x:v>
      </x:c>
      <x:c r="E6" s="165" t="str"/>
      <x:c r="F6" s="164" t="str">
        <x:f>IF(E6="","",IFERROR(VLOOKUP(B6&amp;"|"&amp;E6,'Questions &amp; Answers'!$A$5:$J$71,10,FALSE),""))</x:f>
      </x:c>
      <x:c r="G6" s="164" t="str">
        <x:f>IF(E6="","",IFERROR(VLOOKUP(B6&amp;"|"&amp;E6,'Questions &amp; Answers'!$A$5:$K$71,11,FALSE),""))</x:f>
      </x:c>
      <x:c r="H6" s="159" t="str">
        <x:v>Optional</x:v>
      </x:c>
      <x:c r="I6" s="146"/>
      <x:c r="J6" s="159" t="str">
        <x:v>Low</x:v>
      </x:c>
      <x:c r="K6" s="159" t="str">
        <x:v>First option for every question</x:v>
      </x:c>
      <x:c r="L6" s="159" t="n">
        <x:v>15</x:v>
      </x:c>
      <x:c r="M6" s="159" t="str">
        <x:v>Needs attention</x:v>
      </x:c>
      <x:c r="N6" s="159" t="n">
        <x:v>5</x:v>
      </x:c>
    </x:row>
    <x:row r="7" ht="42" customHeight="1">
      <x:c r="A7" s="159" t="str">
        <x:v>Basic information</x:v>
      </x:c>
      <x:c r="B7" s="159" t="str">
        <x:v>mainGoal</x:v>
      </x:c>
      <x:c r="C7" s="159" t="str">
        <x:v>What is your main nutrition goal?</x:v>
      </x:c>
      <x:c r="D7" s="159" t="str">
        <x:v>Unscored profile</x:v>
      </x:c>
      <x:c r="E7" s="165" t="str"/>
      <x:c r="F7" s="164" t="str">
        <x:f>IF(E7="","",IFERROR(VLOOKUP(B7&amp;"|"&amp;E7,'Questions &amp; Answers'!$A$5:$J$71,10,FALSE),""))</x:f>
      </x:c>
      <x:c r="G7" s="164" t="str">
        <x:f>IF(E7="","",IFERROR(VLOOKUP(B7&amp;"|"&amp;E7,'Questions &amp; Answers'!$A$5:$K$71,11,FALSE),""))</x:f>
      </x:c>
      <x:c r="H7" s="159" t="str">
        <x:v>Required</x:v>
      </x:c>
      <x:c r="I7" s="146"/>
      <x:c r="J7" s="159" t="str">
        <x:v>Medium</x:v>
      </x:c>
      <x:c r="K7" s="159" t="str">
        <x:v>Second option for every question</x:v>
      </x:c>
      <x:c r="L7" s="159" t="n">
        <x:v>48</x:v>
      </x:c>
      <x:c r="M7" s="159" t="str">
        <x:v>Could improve</x:v>
      </x:c>
      <x:c r="N7" s="159" t="n">
        <x:v>5</x:v>
      </x:c>
    </x:row>
    <x:row r="8" ht="42" customHeight="1">
      <x:c r="A8" s="159" t="str">
        <x:v>Fruit and vegetable intake</x:v>
      </x:c>
      <x:c r="B8" s="159" t="str">
        <x:v>fruitPortions</x:v>
      </x:c>
      <x:c r="C8" s="159" t="str">
        <x:v>How many portions of fruit do you eat on a typical day?</x:v>
      </x:c>
      <x:c r="D8" s="159" t="str">
        <x:v>fruitVegetables</x:v>
      </x:c>
      <x:c r="E8" s="165" t="str"/>
      <x:c r="F8" s="164" t="str">
        <x:f>IF(E8="","",IFERROR(VLOOKUP(B8&amp;"|"&amp;E8,'Questions &amp; Answers'!$A$5:$J$71,10,FALSE),""))</x:f>
      </x:c>
      <x:c r="G8" s="164" t="str">
        <x:f>IF(E8="","",IFERROR(VLOOKUP(B8&amp;"|"&amp;E8,'Questions &amp; Answers'!$A$5:$K$71,11,FALSE),""))</x:f>
      </x:c>
      <x:c r="H8" s="159" t="str">
        <x:v>Required</x:v>
      </x:c>
      <x:c r="I8" s="146"/>
      <x:c r="J8" s="159" t="str">
        <x:v>High</x:v>
      </x:c>
      <x:c r="K8" s="159" t="str">
        <x:v>Last option for every question</x:v>
      </x:c>
      <x:c r="L8" s="159" t="n">
        <x:v>99</x:v>
      </x:c>
      <x:c r="M8" s="159" t="str">
        <x:v>Strong</x:v>
      </x:c>
      <x:c r="N8" s="159" t="n">
        <x:v>1</x:v>
      </x:c>
    </x:row>
    <x:row r="9" ht="42" customHeight="1">
      <x:c r="A9" s="159" t="str">
        <x:v>Fruit and vegetable intake</x:v>
      </x:c>
      <x:c r="B9" s="159" t="str">
        <x:v>vegetablePortions</x:v>
      </x:c>
      <x:c r="C9" s="159" t="str">
        <x:v>How many portions of vegetables or salad do you eat on a typical day?</x:v>
      </x:c>
      <x:c r="D9" s="159" t="str">
        <x:v>fruitVegetables</x:v>
      </x:c>
      <x:c r="E9" s="165" t="str"/>
      <x:c r="F9" s="164" t="str">
        <x:f>IF(E9="","",IFERROR(VLOOKUP(B9&amp;"|"&amp;E9,'Questions &amp; Answers'!$A$5:$J$71,10,FALSE),""))</x:f>
      </x:c>
      <x:c r="G9" s="164" t="str">
        <x:f>IF(E9="","",IFERROR(VLOOKUP(B9&amp;"|"&amp;E9,'Questions &amp; Answers'!$A$5:$K$71,11,FALSE),""))</x:f>
      </x:c>
      <x:c r="H9" s="159" t="str">
        <x:v>Required</x:v>
      </x:c>
      <x:c r="I9" s="146"/>
      <x:c r="J9" s="146"/>
      <x:c r="K9" s="146"/>
      <x:c r="L9" s="146"/>
      <x:c r="M9" s="146"/>
      <x:c r="N9" s="146"/>
    </x:row>
    <x:row r="10" ht="42" customHeight="1">
      <x:c r="A10" s="159" t="str">
        <x:v>Fibre and wholegrains</x:v>
      </x:c>
      <x:c r="B10" s="159" t="str">
        <x:v>wholegrains</x:v>
      </x:c>
      <x:c r="C10" s="159" t="str">
        <x:v>How often do you eat wholegrain bread, oats, brown rice, or wholegrain pasta?</x:v>
      </x:c>
      <x:c r="D10" s="159" t="str">
        <x:v>fibre</x:v>
      </x:c>
      <x:c r="E10" s="165" t="str"/>
      <x:c r="F10" s="164" t="str">
        <x:f>IF(E10="","",IFERROR(VLOOKUP(B10&amp;"|"&amp;E10,'Questions &amp; Answers'!$A$5:$J$71,10,FALSE),""))</x:f>
      </x:c>
      <x:c r="G10" s="164" t="str">
        <x:f>IF(E10="","",IFERROR(VLOOKUP(B10&amp;"|"&amp;E10,'Questions &amp; Answers'!$A$5:$K$71,11,FALSE),""))</x:f>
      </x:c>
      <x:c r="H10" s="159" t="str">
        <x:v>Required</x:v>
      </x:c>
      <x:c r="I10" s="146"/>
      <x:c r="J10" s="169" t="str">
        <x:v>Verification note: the reference cases were calculated directly from the current JavaScript assessment functions during workbook generation. Use the editable tester at left for clinical spot checks and edge cases.</x:v>
      </x:c>
      <x:c r="K10" s="170"/>
      <x:c r="L10" s="170"/>
      <x:c r="M10" s="170"/>
      <x:c r="N10" s="171"/>
    </x:row>
    <x:row r="11" ht="42" customHeight="1">
      <x:c r="A11" s="159" t="str">
        <x:v>Fibre and wholegrains</x:v>
      </x:c>
      <x:c r="B11" s="159" t="str">
        <x:v>legumes</x:v>
      </x:c>
      <x:c r="C11" s="159" t="str">
        <x:v>How often do you eat beans, lentils, chickpeas, or other legumes?</x:v>
      </x:c>
      <x:c r="D11" s="159" t="str">
        <x:v>fibre</x:v>
      </x:c>
      <x:c r="E11" s="165" t="str"/>
      <x:c r="F11" s="164" t="str">
        <x:f>IF(E11="","",IFERROR(VLOOKUP(B11&amp;"|"&amp;E11,'Questions &amp; Answers'!$A$5:$J$71,10,FALSE),""))</x:f>
      </x:c>
      <x:c r="G11" s="164" t="str">
        <x:f>IF(E11="","",IFERROR(VLOOKUP(B11&amp;"|"&amp;E11,'Questions &amp; Answers'!$A$5:$K$71,11,FALSE),""))</x:f>
      </x:c>
      <x:c r="H11" s="159" t="str">
        <x:v>Required</x:v>
      </x:c>
      <x:c r="I11" s="146"/>
      <x:c r="J11" s="172"/>
      <x:c r="K11" s="135"/>
      <x:c r="L11" s="135"/>
      <x:c r="M11" s="135"/>
      <x:c r="N11" s="173"/>
    </x:row>
    <x:row r="12" ht="42" customHeight="1">
      <x:c r="A12" s="159" t="str">
        <x:v>Protein habits</x:v>
      </x:c>
      <x:c r="B12" s="159" t="str">
        <x:v>proteinFrequency</x:v>
      </x:c>
      <x:c r="C12" s="159" t="str">
        <x:v>How often do you consume protein-rich foods such as fish, eggs, dairy, tofu, beans, pulses, poultry, or lean meat?</x:v>
      </x:c>
      <x:c r="D12" s="159" t="str">
        <x:v>protein</x:v>
      </x:c>
      <x:c r="E12" s="165" t="str"/>
      <x:c r="F12" s="164" t="str">
        <x:f>IF(E12="","",IFERROR(VLOOKUP(B12&amp;"|"&amp;E12,'Questions &amp; Answers'!$A$5:$J$71,10,FALSE),""))</x:f>
      </x:c>
      <x:c r="G12" s="164" t="str">
        <x:f>IF(E12="","",IFERROR(VLOOKUP(B12&amp;"|"&amp;E12,'Questions &amp; Answers'!$A$5:$K$71,11,FALSE),""))</x:f>
      </x:c>
      <x:c r="H12" s="159" t="str">
        <x:v>Required</x:v>
      </x:c>
      <x:c r="I12" s="146"/>
      <x:c r="J12" s="172"/>
      <x:c r="K12" s="135"/>
      <x:c r="L12" s="135"/>
      <x:c r="M12" s="135"/>
      <x:c r="N12" s="173"/>
    </x:row>
    <x:row r="13" ht="42" customHeight="1">
      <x:c r="A13" s="159" t="str">
        <x:v>Protein habits</x:v>
      </x:c>
      <x:c r="B13" s="159" t="str">
        <x:v>proteinMeals</x:v>
      </x:c>
      <x:c r="C13" s="159" t="str">
        <x:v>Do most of your meals contain a source of protein?</x:v>
      </x:c>
      <x:c r="D13" s="159" t="str">
        <x:v>protein</x:v>
      </x:c>
      <x:c r="E13" s="165" t="str"/>
      <x:c r="F13" s="164" t="str">
        <x:f>IF(E13="","",IFERROR(VLOOKUP(B13&amp;"|"&amp;E13,'Questions &amp; Answers'!$A$5:$J$71,10,FALSE),""))</x:f>
      </x:c>
      <x:c r="G13" s="164" t="str">
        <x:f>IF(E13="","",IFERROR(VLOOKUP(B13&amp;"|"&amp;E13,'Questions &amp; Answers'!$A$5:$K$71,11,FALSE),""))</x:f>
      </x:c>
      <x:c r="H13" s="159" t="str">
        <x:v>Required</x:v>
      </x:c>
      <x:c r="I13" s="146"/>
      <x:c r="J13" s="172"/>
      <x:c r="K13" s="135"/>
      <x:c r="L13" s="135"/>
      <x:c r="M13" s="135"/>
      <x:c r="N13" s="173"/>
    </x:row>
    <x:row r="14" ht="42" customHeight="1">
      <x:c r="A14" s="159" t="str">
        <x:v>Hydration</x:v>
      </x:c>
      <x:c r="B14" s="159" t="str">
        <x:v>fluidIntake</x:v>
      </x:c>
      <x:c r="C14" s="159" t="str">
        <x:v>How much fluid do you drink daily?</x:v>
      </x:c>
      <x:c r="D14" s="159" t="str">
        <x:v>hydration</x:v>
      </x:c>
      <x:c r="E14" s="165" t="str"/>
      <x:c r="F14" s="164" t="str">
        <x:f>IF(E14="","",IFERROR(VLOOKUP(B14&amp;"|"&amp;E14,'Questions &amp; Answers'!$A$5:$J$71,10,FALSE),""))</x:f>
      </x:c>
      <x:c r="G14" s="164" t="str">
        <x:f>IF(E14="","",IFERROR(VLOOKUP(B14&amp;"|"&amp;E14,'Questions &amp; Answers'!$A$5:$K$71,11,FALSE),""))</x:f>
      </x:c>
      <x:c r="H14" s="159" t="str">
        <x:v>Required</x:v>
      </x:c>
      <x:c r="I14" s="146"/>
      <x:c r="J14" s="174"/>
      <x:c r="K14" s="175"/>
      <x:c r="L14" s="175"/>
      <x:c r="M14" s="175"/>
      <x:c r="N14" s="176"/>
    </x:row>
    <x:row r="15" ht="42" customHeight="1">
      <x:c r="A15" s="159" t="str">
        <x:v>Hydration</x:v>
      </x:c>
      <x:c r="B15" s="159" t="str">
        <x:v>sugaryDrinks</x:v>
      </x:c>
      <x:c r="C15" s="159" t="str">
        <x:v>How often do you consume sugary drinks?</x:v>
      </x:c>
      <x:c r="D15" s="159" t="str">
        <x:v>hydration</x:v>
      </x:c>
      <x:c r="E15" s="165" t="str"/>
      <x:c r="F15" s="164" t="str">
        <x:f>IF(E15="","",IFERROR(VLOOKUP(B15&amp;"|"&amp;E15,'Questions &amp; Answers'!$A$5:$J$71,10,FALSE),""))</x:f>
      </x:c>
      <x:c r="G15" s="164" t="str">
        <x:f>IF(E15="","",IFERROR(VLOOKUP(B15&amp;"|"&amp;E15,'Questions &amp; Answers'!$A$5:$K$71,11,FALSE),""))</x:f>
      </x:c>
      <x:c r="H15" s="159" t="str">
        <x:v>Required</x:v>
      </x:c>
      <x:c r="I15" s="146"/>
      <x:c r="J15" s="146"/>
      <x:c r="K15" s="146"/>
      <x:c r="L15" s="146"/>
      <x:c r="M15" s="146"/>
      <x:c r="N15" s="146"/>
    </x:row>
    <x:row r="16" ht="42" customHeight="1">
      <x:c r="A16" s="159" t="str">
        <x:v>Meal patterns</x:v>
      </x:c>
      <x:c r="B16" s="159" t="str">
        <x:v>breakfast</x:v>
      </x:c>
      <x:c r="C16" s="159" t="str">
        <x:v>Do you eat breakfast regularly?</x:v>
      </x:c>
      <x:c r="D16" s="159" t="str">
        <x:v>mealPatterns</x:v>
      </x:c>
      <x:c r="E16" s="165" t="str"/>
      <x:c r="F16" s="164" t="str">
        <x:f>IF(E16="","",IFERROR(VLOOKUP(B16&amp;"|"&amp;E16,'Questions &amp; Answers'!$A$5:$J$71,10,FALSE),""))</x:f>
      </x:c>
      <x:c r="G16" s="164" t="str">
        <x:f>IF(E16="","",IFERROR(VLOOKUP(B16&amp;"|"&amp;E16,'Questions &amp; Answers'!$A$5:$K$71,11,FALSE),""))</x:f>
      </x:c>
      <x:c r="H16" s="159" t="str">
        <x:v>Required</x:v>
      </x:c>
      <x:c r="I16" s="146"/>
      <x:c r="J16" s="146"/>
      <x:c r="K16" s="146"/>
      <x:c r="L16" s="146"/>
      <x:c r="M16" s="146"/>
      <x:c r="N16" s="146"/>
    </x:row>
    <x:row r="17" ht="42" customHeight="1">
      <x:c r="A17" s="159" t="str">
        <x:v>Meal patterns</x:v>
      </x:c>
      <x:c r="B17" s="159" t="str">
        <x:v>skippingMeals</x:v>
      </x:c>
      <x:c r="C17" s="159" t="str">
        <x:v>How often do you skip meals?</x:v>
      </x:c>
      <x:c r="D17" s="159" t="str">
        <x:v>mealPatterns</x:v>
      </x:c>
      <x:c r="E17" s="165" t="str"/>
      <x:c r="F17" s="164" t="str">
        <x:f>IF(E17="","",IFERROR(VLOOKUP(B17&amp;"|"&amp;E17,'Questions &amp; Answers'!$A$5:$J$71,10,FALSE),""))</x:f>
      </x:c>
      <x:c r="G17" s="164" t="str">
        <x:f>IF(E17="","",IFERROR(VLOOKUP(B17&amp;"|"&amp;E17,'Questions &amp; Answers'!$A$5:$K$71,11,FALSE),""))</x:f>
      </x:c>
      <x:c r="H17" s="159" t="str">
        <x:v>Required</x:v>
      </x:c>
      <x:c r="I17" s="146"/>
      <x:c r="J17" s="146"/>
      <x:c r="K17" s="146"/>
      <x:c r="L17" s="146"/>
      <x:c r="M17" s="146"/>
      <x:c r="N17" s="146"/>
    </x:row>
    <x:row r="18" ht="42" customHeight="1">
      <x:c r="A18" s="159" t="str">
        <x:v>Meal patterns</x:v>
      </x:c>
      <x:c r="B18" s="159" t="str">
        <x:v>regularTimes</x:v>
      </x:c>
      <x:c r="C18" s="159" t="str">
        <x:v>Do you tend to eat at regular times?</x:v>
      </x:c>
      <x:c r="D18" s="159" t="str">
        <x:v>mealPatterns</x:v>
      </x:c>
      <x:c r="E18" s="165" t="str"/>
      <x:c r="F18" s="164" t="str">
        <x:f>IF(E18="","",IFERROR(VLOOKUP(B18&amp;"|"&amp;E18,'Questions &amp; Answers'!$A$5:$J$71,10,FALSE),""))</x:f>
      </x:c>
      <x:c r="G18" s="164" t="str">
        <x:f>IF(E18="","",IFERROR(VLOOKUP(B18&amp;"|"&amp;E18,'Questions &amp; Answers'!$A$5:$K$71,11,FALSE),""))</x:f>
      </x:c>
      <x:c r="H18" s="159" t="str">
        <x:v>Required</x:v>
      </x:c>
      <x:c r="I18" s="146"/>
      <x:c r="J18" s="146"/>
      <x:c r="K18" s="146"/>
      <x:c r="L18" s="146"/>
      <x:c r="M18" s="146"/>
      <x:c r="N18" s="146"/>
    </x:row>
    <x:row r="19" ht="42" customHeight="1">
      <x:c r="A19" s="159" t="str">
        <x:v>Lifestyle</x:v>
      </x:c>
      <x:c r="B19" s="159" t="str">
        <x:v>activityDays</x:v>
      </x:c>
      <x:c r="C19" s="159" t="str">
        <x:v>How many days per week are you physically active?</x:v>
      </x:c>
      <x:c r="D19" s="159" t="str">
        <x:v>lifestyle</x:v>
      </x:c>
      <x:c r="E19" s="165" t="str"/>
      <x:c r="F19" s="164" t="str">
        <x:f>IF(E19="","",IFERROR(VLOOKUP(B19&amp;"|"&amp;E19,'Questions &amp; Answers'!$A$5:$J$71,10,FALSE),""))</x:f>
      </x:c>
      <x:c r="G19" s="164" t="str">
        <x:f>IF(E19="","",IFERROR(VLOOKUP(B19&amp;"|"&amp;E19,'Questions &amp; Answers'!$A$5:$K$71,11,FALSE),""))</x:f>
      </x:c>
      <x:c r="H19" s="159" t="str">
        <x:v>Required</x:v>
      </x:c>
      <x:c r="I19" s="146"/>
      <x:c r="J19" s="146"/>
      <x:c r="K19" s="146"/>
      <x:c r="L19" s="146"/>
      <x:c r="M19" s="146"/>
      <x:c r="N19" s="146"/>
    </x:row>
    <x:row r="20" ht="42" customHeight="1">
      <x:c r="A20" s="159" t="str">
        <x:v>Lifestyle</x:v>
      </x:c>
      <x:c r="B20" s="159" t="str">
        <x:v>sleepQuality</x:v>
      </x:c>
      <x:c r="C20" s="159" t="str">
        <x:v>How would you rate your sleep quality?</x:v>
      </x:c>
      <x:c r="D20" s="159" t="str">
        <x:v>lifestyle</x:v>
      </x:c>
      <x:c r="E20" s="165" t="str"/>
      <x:c r="F20" s="164" t="str">
        <x:f>IF(E20="","",IFERROR(VLOOKUP(B20&amp;"|"&amp;E20,'Questions &amp; Answers'!$A$5:$J$71,10,FALSE),""))</x:f>
      </x:c>
      <x:c r="G20" s="164" t="str">
        <x:f>IF(E20="","",IFERROR(VLOOKUP(B20&amp;"|"&amp;E20,'Questions &amp; Answers'!$A$5:$K$71,11,FALSE),""))</x:f>
      </x:c>
      <x:c r="H20" s="159" t="str">
        <x:v>Required</x:v>
      </x:c>
      <x:c r="I20" s="146"/>
      <x:c r="J20" s="146"/>
      <x:c r="K20" s="146"/>
      <x:c r="L20" s="146"/>
      <x:c r="M20" s="146"/>
      <x:c r="N20" s="146"/>
    </x:row>
    <x:row r="21">
      <x:c r="A21" s="146"/>
      <x:c r="B21" s="146"/>
      <x:c r="C21" s="146"/>
      <x:c r="D21" s="146"/>
      <x:c r="E21" s="146"/>
      <x:c r="F21" s="146"/>
      <x:c r="G21" s="146"/>
      <x:c r="H21" s="146"/>
      <x:c r="I21" s="146"/>
      <x:c r="J21" s="146"/>
      <x:c r="K21" s="146"/>
      <x:c r="L21" s="146"/>
      <x:c r="M21" s="146"/>
      <x:c r="N21" s="146"/>
    </x:row>
    <x:row r="22" ht="24" customHeight="1">
      <x:c r="A22" s="136" t="str">
        <x:v>Calculated Results</x:v>
      </x:c>
      <x:c r="B22" s="136"/>
      <x:c r="C22" s="136"/>
      <x:c r="D22" s="136"/>
      <x:c r="E22" s="136"/>
      <x:c r="F22" s="136"/>
      <x:c r="G22" s="136"/>
      <x:c r="H22" s="136"/>
      <x:c r="I22" s="146"/>
      <x:c r="J22" s="146"/>
      <x:c r="K22" s="146"/>
      <x:c r="L22" s="146"/>
      <x:c r="M22" s="146"/>
      <x:c r="N22" s="146"/>
    </x:row>
    <x:row r="23" ht="34" customHeight="1">
      <x:c r="A23" s="158" t="str">
        <x:v>Category ID</x:v>
      </x:c>
      <x:c r="B23" s="158" t="str">
        <x:v>Display Label</x:v>
      </x:c>
      <x:c r="C23" s="158" t="str">
        <x:v>Score</x:v>
      </x:c>
      <x:c r="D23" s="158" t="str">
        <x:v>Rating</x:v>
      </x:c>
      <x:c r="E23" s="158" t="str">
        <x:v>Displayed?</x:v>
      </x:c>
      <x:c r="F23" s="158" t="str">
        <x:v>Summary</x:v>
      </x:c>
      <x:c r="G23" s="146"/>
      <x:c r="H23" s="146"/>
      <x:c r="I23" s="146"/>
      <x:c r="J23" s="146"/>
      <x:c r="K23" s="146"/>
      <x:c r="L23" s="146"/>
      <x:c r="M23" s="146"/>
      <x:c r="N23" s="146"/>
    </x:row>
    <x:row r="24" ht="66" customHeight="1">
      <x:c r="A24" s="159" t="str">
        <x:v>fibre</x:v>
      </x:c>
      <x:c r="B24" s="159" t="str">
        <x:v>Fibre Habits</x:v>
      </x:c>
      <x:c r="C24" s="177" t="str">
        <x:f>IFERROR(ROUND(AVERAGEIF($D$5:$D$20,A24,$G$5:$G$20),0),"")</x:f>
      </x:c>
      <x:c r="D24" s="159" t="str">
        <x:f>IF(C24="","",IF(C24&gt;=80,"Strong",IF(C24&gt;=60,"Developing well",IF(C24&gt;=40,"Could improve","Needs attention"))))</x:f>
      </x:c>
      <x:c r="E24" s="159" t="str">
        <x:v>Yes</x:v>
      </x:c>
      <x:c r="F24" s="159" t="str">
        <x:f>IF(C24="","",IF(C24&gt;=70,"Your fibre habits appear positive. Continuing to include wholegrains, legumes, fruit, and vegetables can support a balanced diet.","Your fibre intake appears lower than ideal. Increasing wholegrains, legumes, fruit, and vegetables may help support digestive health."))</x:f>
      </x:c>
      <x:c r="G24" s="146"/>
      <x:c r="H24" s="146"/>
      <x:c r="I24" s="146"/>
      <x:c r="J24" s="146"/>
      <x:c r="K24" s="146"/>
      <x:c r="L24" s="146"/>
      <x:c r="M24" s="146"/>
      <x:c r="N24" s="146"/>
    </x:row>
    <x:row r="25" ht="66" customHeight="1">
      <x:c r="A25" s="159" t="str">
        <x:v>protein</x:v>
      </x:c>
      <x:c r="B25" s="159" t="str">
        <x:v>Protein Habits</x:v>
      </x:c>
      <x:c r="C25" s="177" t="str">
        <x:f>IFERROR(ROUND(AVERAGEIF($D$5:$D$20,A25,$G$5:$G$20),0),"")</x:f>
      </x:c>
      <x:c r="D25" s="159" t="str">
        <x:f>IF(C25="","",IF(C25&gt;=80,"Strong",IF(C25&gt;=60,"Developing well",IF(C25&gt;=40,"Could improve","Needs attention"))))</x:f>
      </x:c>
      <x:c r="E25" s="159" t="str">
        <x:v>Yes</x:v>
      </x:c>
      <x:c r="F25" s="159" t="str">
        <x:f>IF(C25="","",IF(C25&gt;=70,"Your protein habits appear strong and are likely supporting satiety and muscle maintenance.","Your protein intake could be more consistent. Adding a protein source to more meals may help meals feel more balanced."))</x:f>
      </x:c>
      <x:c r="G25" s="146"/>
      <x:c r="H25" s="146"/>
      <x:c r="I25" s="146"/>
      <x:c r="J25" s="146"/>
      <x:c r="K25" s="146"/>
      <x:c r="L25" s="146"/>
      <x:c r="M25" s="146"/>
      <x:c r="N25" s="146"/>
    </x:row>
    <x:row r="26" ht="66" customHeight="1">
      <x:c r="A26" s="159" t="str">
        <x:v>fruitVegetables</x:v>
      </x:c>
      <x:c r="B26" s="159" t="str">
        <x:v>Fruit &amp; Vegetable Intake</x:v>
      </x:c>
      <x:c r="C26" s="177" t="str">
        <x:f>IFERROR(ROUND(AVERAGEIF($D$5:$D$20,A26,$G$5:$G$20),0),"")</x:f>
      </x:c>
      <x:c r="D26" s="159" t="str">
        <x:f>IF(C26="","",IF(C26&gt;=80,"Strong",IF(C26&gt;=60,"Developing well",IF(C26&gt;=40,"Could improve","Needs attention"))))</x:f>
      </x:c>
      <x:c r="E26" s="159" t="str">
        <x:v>Yes</x:v>
      </x:c>
      <x:c r="F26" s="159" t="str">
        <x:f>IF(C26="","",IF(C26&gt;=70,"Your fruit and vegetable intake appears supportive of good overall diet quality.","Your fruit and vegetable intake could be increased. Small additions across the day can make this easier to sustain."))</x:f>
      </x:c>
      <x:c r="G26" s="146"/>
      <x:c r="H26" s="146"/>
      <x:c r="I26" s="146"/>
      <x:c r="J26" s="146"/>
      <x:c r="K26" s="146"/>
      <x:c r="L26" s="146"/>
      <x:c r="M26" s="146"/>
      <x:c r="N26" s="146"/>
    </x:row>
    <x:row r="27" ht="66" customHeight="1">
      <x:c r="A27" s="159" t="str">
        <x:v>hydration</x:v>
      </x:c>
      <x:c r="B27" s="159" t="str">
        <x:v>Hydration Habits</x:v>
      </x:c>
      <x:c r="C27" s="177" t="str">
        <x:f>IFERROR(ROUND(AVERAGEIF($D$5:$D$20,A27,$G$5:$G$20),0),"")</x:f>
      </x:c>
      <x:c r="D27" s="159" t="str">
        <x:f>IF(C27="","",IF(C27&gt;=80,"Strong",IF(C27&gt;=60,"Developing well",IF(C27&gt;=40,"Could improve","Needs attention"))))</x:f>
      </x:c>
      <x:c r="E27" s="159" t="str">
        <x:v>Yes</x:v>
      </x:c>
      <x:c r="F27" s="159" t="str">
        <x:f>IF(C27="","",IF(C27&gt;=70,"Your hydration habits appear supportive. Keeping water available during the day can help maintain this routine.","Your hydration habits could be improved by increasing daily fluid intake and choosing unsweetened drinks more often."))</x:f>
      </x:c>
      <x:c r="G27" s="146"/>
      <x:c r="H27" s="146"/>
      <x:c r="I27" s="146"/>
      <x:c r="J27" s="146"/>
      <x:c r="K27" s="146"/>
      <x:c r="L27" s="146"/>
      <x:c r="M27" s="146"/>
      <x:c r="N27" s="146"/>
    </x:row>
    <x:row r="28" ht="66" customHeight="1">
      <x:c r="A28" s="159" t="str">
        <x:v>lifestyle</x:v>
      </x:c>
      <x:c r="B28" s="159" t="str">
        <x:v>Lifestyle Habits</x:v>
      </x:c>
      <x:c r="C28" s="177" t="str">
        <x:f>IFERROR(ROUND(AVERAGEIF($D$5:$D$20,A28,$G$5:$G$20),0),"")</x:f>
      </x:c>
      <x:c r="D28" s="159" t="str">
        <x:f>IF(C28="","",IF(C28&gt;=80,"Strong",IF(C28&gt;=60,"Developing well",IF(C28&gt;=40,"Could improve","Needs attention"))))</x:f>
      </x:c>
      <x:c r="E28" s="159" t="str">
        <x:v>Yes</x:v>
      </x:c>
      <x:c r="F28" s="159" t="str">
        <x:f>IF(C28="","",IF(C28&gt;=70,"Your activity and sleep habits appear to be supporting your general wellbeing.","Your lifestyle habits may benefit from more regular movement and attention to sleep quality."))</x:f>
      </x:c>
      <x:c r="G28" s="146"/>
      <x:c r="H28" s="146"/>
      <x:c r="I28" s="146"/>
      <x:c r="J28" s="146"/>
      <x:c r="K28" s="146"/>
      <x:c r="L28" s="146"/>
      <x:c r="M28" s="146"/>
      <x:c r="N28" s="146"/>
    </x:row>
    <x:row r="29" ht="66" customHeight="1">
      <x:c r="A29" s="159" t="str">
        <x:v>mealPatterns</x:v>
      </x:c>
      <x:c r="B29" s="159" t="str">
        <x:v>Meal Regularity</x:v>
      </x:c>
      <x:c r="C29" s="177" t="str">
        <x:f>IFERROR(ROUND(AVERAGEIF($D$5:$D$20,A29,$G$5:$G$20),0),"")</x:f>
      </x:c>
      <x:c r="D29" s="159" t="str">
        <x:f>IF(C29="","",IF(C29&gt;=80,"Strong",IF(C29&gt;=60,"Developing well",IF(C29&gt;=40,"Could improve","Needs attention"))))</x:f>
      </x:c>
      <x:c r="E29" s="159" t="str">
        <x:v>No</x:v>
      </x:c>
      <x:c r="F29" s="159" t="str">
        <x:f>IF(C29="","",IF(C29&gt;=70,"Your meal routine appears steady, which can make balanced nutrition easier to maintain.","Your meal routine could be more regular. Planning simple meals or snacks may help reduce skipped meals."))</x:f>
      </x:c>
      <x:c r="G29" s="146"/>
      <x:c r="H29" s="146"/>
      <x:c r="I29" s="146"/>
      <x:c r="J29" s="146"/>
      <x:c r="K29" s="146"/>
      <x:c r="L29" s="146"/>
      <x:c r="M29" s="146"/>
      <x:c r="N29" s="146"/>
    </x:row>
    <x:row r="30">
      <x:c r="A30" s="146"/>
      <x:c r="B30" s="146"/>
      <x:c r="C30" s="146"/>
      <x:c r="D30" s="146"/>
      <x:c r="E30" s="146"/>
      <x:c r="F30" s="146"/>
      <x:c r="G30" s="146"/>
      <x:c r="H30" s="146"/>
      <x:c r="I30" s="146"/>
      <x:c r="J30" s="146"/>
      <x:c r="K30" s="146"/>
      <x:c r="L30" s="146"/>
      <x:c r="M30" s="146"/>
      <x:c r="N30" s="146"/>
    </x:row>
    <x:row r="31">
      <x:c r="A31" s="178" t="str">
        <x:v>Overall score</x:v>
      </x:c>
      <x:c r="B31" s="159" t="str">
        <x:f>IF(COUNT(C24:C28)&lt;5,"",ROUND(AVERAGE(C24:C28),0))</x:f>
      </x:c>
      <x:c r="C31" s="159"/>
      <x:c r="D31" s="159"/>
      <x:c r="E31" s="159"/>
      <x:c r="F31" s="159"/>
      <x:c r="G31" s="146"/>
      <x:c r="H31" s="146"/>
      <x:c r="I31" s="146"/>
      <x:c r="J31" s="146"/>
      <x:c r="K31" s="146"/>
      <x:c r="L31" s="146"/>
      <x:c r="M31" s="146"/>
      <x:c r="N31" s="146"/>
    </x:row>
    <x:row r="32">
      <x:c r="A32" s="178" t="str">
        <x:v>Overall rating</x:v>
      </x:c>
      <x:c r="B32" s="159" t="str">
        <x:f>IF(B31="","",IF(B31&gt;=80,"Strong",IF(B31&gt;=60,"Developing well",IF(B31&gt;=40,"Could improve","Needs attention"))))</x:f>
      </x:c>
      <x:c r="C32" s="159"/>
      <x:c r="D32" s="159"/>
      <x:c r="E32" s="159"/>
      <x:c r="F32" s="159"/>
      <x:c r="G32" s="146"/>
      <x:c r="H32" s="146"/>
      <x:c r="I32" s="146"/>
      <x:c r="J32" s="146"/>
      <x:c r="K32" s="146"/>
      <x:c r="L32" s="146"/>
      <x:c r="M32" s="146"/>
      <x:c r="N32" s="146"/>
    </x:row>
    <x:row r="33">
      <x:c r="A33" s="178" t="str">
        <x:v>Overall summary</x:v>
      </x:c>
      <x:c r="B33" s="159" t="str">
        <x:f>IF(B31="","",IF(B31&gt;=70,"Your answers suggest a generally supportive nutrition pattern with some useful habits already in place.","Your answers suggest there are several realistic opportunities to strengthen your everyday nutrition habits."))</x:f>
      </x:c>
      <x:c r="C33" s="159"/>
      <x:c r="D33" s="159"/>
      <x:c r="E33" s="159"/>
      <x:c r="F33" s="159"/>
      <x:c r="G33" s="146"/>
      <x:c r="H33" s="146"/>
      <x:c r="I33" s="146"/>
      <x:c r="J33" s="146"/>
      <x:c r="K33" s="146"/>
      <x:c r="L33" s="146"/>
      <x:c r="M33" s="146"/>
      <x:c r="N33" s="146"/>
    </x:row>
    <x:row r="34">
      <x:c r="A34" s="146"/>
      <x:c r="B34" s="159"/>
      <x:c r="C34" s="159"/>
      <x:c r="D34" s="159"/>
      <x:c r="E34" s="159"/>
      <x:c r="F34" s="159"/>
      <x:c r="G34" s="146"/>
      <x:c r="H34" s="146"/>
      <x:c r="I34" s="146"/>
      <x:c r="J34" s="146"/>
      <x:c r="K34" s="146"/>
      <x:c r="L34" s="146"/>
      <x:c r="M34" s="146"/>
      <x:c r="N34" s="146"/>
    </x:row>
    <x:row r="35">
      <x:c r="A35" s="146"/>
      <x:c r="B35" s="146"/>
      <x:c r="C35" s="146"/>
      <x:c r="D35" s="146"/>
      <x:c r="E35" s="146"/>
      <x:c r="F35" s="146"/>
      <x:c r="G35" s="146"/>
      <x:c r="H35" s="146"/>
      <x:c r="I35" s="146"/>
      <x:c r="J35" s="146"/>
      <x:c r="K35" s="146"/>
      <x:c r="L35" s="146"/>
      <x:c r="M35" s="146"/>
      <x:c r="N35" s="146"/>
    </x:row>
    <x:row r="36" ht="24" customHeight="1">
      <x:c r="A36" s="136" t="str">
        <x:v>Recommendation Trigger Check</x:v>
      </x:c>
      <x:c r="B36" s="136"/>
      <x:c r="C36" s="136"/>
      <x:c r="D36" s="136"/>
      <x:c r="E36" s="136"/>
      <x:c r="F36" s="136"/>
      <x:c r="G36" s="136"/>
      <x:c r="H36" s="136"/>
      <x:c r="I36" s="146"/>
      <x:c r="J36" s="146"/>
      <x:c r="K36" s="146"/>
      <x:c r="L36" s="146"/>
      <x:c r="M36" s="146"/>
      <x:c r="N36" s="146"/>
    </x:row>
    <x:row r="37" ht="34" customHeight="1">
      <x:c r="A37" s="158" t="str">
        <x:v>Order</x:v>
      </x:c>
      <x:c r="B37" s="158" t="str">
        <x:v>Category</x:v>
      </x:c>
      <x:c r="C37" s="158" t="str">
        <x:v>Triggered?</x:v>
      </x:c>
      <x:c r="D37" s="158" t="str">
        <x:v>Advice</x:v>
      </x:c>
      <x:c r="E37" s="158"/>
      <x:c r="F37" s="158"/>
      <x:c r="G37" s="158"/>
      <x:c r="H37" s="158"/>
      <x:c r="I37" s="146"/>
      <x:c r="J37" s="146"/>
      <x:c r="K37" s="146"/>
      <x:c r="L37" s="146"/>
      <x:c r="M37" s="146"/>
      <x:c r="N37" s="146"/>
    </x:row>
    <x:row r="38" ht="48" customHeight="1">
      <x:c r="A38" s="159" t="n">
        <x:v>1</x:v>
      </x:c>
      <x:c r="B38" s="159" t="str">
        <x:v>fruitVegetables</x:v>
      </x:c>
      <x:c r="C38" s="159" t="str">
        <x:f>IF(C26="","",IF(C26&lt;75,"Yes","No"))</x:f>
      </x:c>
      <x:c r="D38" s="159" t="str">
        <x:f>IF(C38="Yes","Add an extra serving of vegetables to lunch or dinner.","")</x:f>
      </x:c>
      <x:c r="E38" s="159"/>
      <x:c r="F38" s="159"/>
      <x:c r="G38" s="159"/>
      <x:c r="H38" s="159"/>
      <x:c r="I38" s="146"/>
      <x:c r="J38" s="146"/>
      <x:c r="K38" s="146"/>
      <x:c r="L38" s="146"/>
      <x:c r="M38" s="146"/>
      <x:c r="N38" s="146"/>
    </x:row>
    <x:row r="39" ht="48" customHeight="1">
      <x:c r="A39" s="159" t="n">
        <x:v>2</x:v>
      </x:c>
      <x:c r="B39" s="159" t="str">
        <x:v>fibre</x:v>
      </x:c>
      <x:c r="C39" s="159" t="str">
        <x:f>IF(C24="","",IF(C24&lt;75,"Yes","No"))</x:f>
      </x:c>
      <x:c r="D39" s="159" t="str">
        <x:f>IF(C39="Yes","Choose wholegrain options more often, such as oats, wholegrain bread, brown rice, or wholegrain pasta.","")</x:f>
      </x:c>
      <x:c r="E39" s="159"/>
      <x:c r="F39" s="159"/>
      <x:c r="G39" s="159"/>
      <x:c r="H39" s="159"/>
      <x:c r="I39" s="146"/>
      <x:c r="J39" s="146"/>
      <x:c r="K39" s="146"/>
      <x:c r="L39" s="146"/>
      <x:c r="M39" s="146"/>
      <x:c r="N39" s="146"/>
    </x:row>
    <x:row r="40" ht="48" customHeight="1">
      <x:c r="A40" s="159" t="n">
        <x:v>3</x:v>
      </x:c>
      <x:c r="B40" s="159" t="str">
        <x:v>protein</x:v>
      </x:c>
      <x:c r="C40" s="159" t="str">
        <x:f>IF(C25="","",IF(C25&lt;75,"Yes","No"))</x:f>
      </x:c>
      <x:c r="D40" s="159" t="str">
        <x:f>IF(C40="Yes","Include a protein source with breakfast or your least balanced meal of the day.","")</x:f>
      </x:c>
      <x:c r="E40" s="159"/>
      <x:c r="F40" s="159"/>
      <x:c r="G40" s="159"/>
      <x:c r="H40" s="159"/>
      <x:c r="I40" s="146"/>
      <x:c r="J40" s="146"/>
      <x:c r="K40" s="146"/>
      <x:c r="L40" s="146"/>
      <x:c r="M40" s="146"/>
      <x:c r="N40" s="146"/>
    </x:row>
    <x:row r="41" ht="48" customHeight="1">
      <x:c r="A41" s="159" t="n">
        <x:v>4</x:v>
      </x:c>
      <x:c r="B41" s="159" t="str">
        <x:v>hydration</x:v>
      </x:c>
      <x:c r="C41" s="159" t="str">
        <x:f>IF(C27="","",IF(C27&lt;75,"Yes","No"))</x:f>
      </x:c>
      <x:c r="D41" s="159" t="str">
        <x:f>IF(C41="Yes","Carry a reusable water bottle to make regular fluid intake easier.","")</x:f>
      </x:c>
      <x:c r="E41" s="159"/>
      <x:c r="F41" s="159"/>
      <x:c r="G41" s="159"/>
      <x:c r="H41" s="159"/>
      <x:c r="I41" s="146"/>
      <x:c r="J41" s="146"/>
      <x:c r="K41" s="146"/>
      <x:c r="L41" s="146"/>
      <x:c r="M41" s="146"/>
      <x:c r="N41" s="146"/>
    </x:row>
    <x:row r="42" ht="48" customHeight="1">
      <x:c r="A42" s="159" t="n">
        <x:v>5</x:v>
      </x:c>
      <x:c r="B42" s="159" t="str">
        <x:v>lifestyle</x:v>
      </x:c>
      <x:c r="C42" s="159" t="str">
        <x:f>IF(C28="","",IF(C28&lt;75,"Yes","No"))</x:f>
      </x:c>
      <x:c r="D42" s="159" t="str">
        <x:f>IF(C42="Yes","Plan short, realistic activity sessions during the week and keep a consistent wind-down routine when possible.","")</x:f>
      </x:c>
      <x:c r="E42" s="159"/>
      <x:c r="F42" s="159"/>
      <x:c r="G42" s="159"/>
      <x:c r="H42" s="159"/>
      <x:c r="I42" s="146"/>
      <x:c r="J42" s="146"/>
      <x:c r="K42" s="146"/>
      <x:c r="L42" s="146"/>
      <x:c r="M42" s="146"/>
      <x:c r="N42" s="146"/>
    </x:row>
    <x:row r="43" ht="48" customHeight="1">
      <x:c r="A43" s="159" t="n">
        <x:v>6</x:v>
      </x:c>
      <x:c r="B43" s="159" t="str">
        <x:v>mealPatterns</x:v>
      </x:c>
      <x:c r="C43" s="159" t="str">
        <x:f>IF(C29="","",IF(C29&lt;75,"Yes","No"))</x:f>
      </x:c>
      <x:c r="D43" s="159" t="str">
        <x:f>IF(C43="Yes","Keep one simple backup meal or snack available for busier days.","")</x:f>
      </x:c>
      <x:c r="E43" s="159"/>
      <x:c r="F43" s="159"/>
      <x:c r="G43" s="159"/>
      <x:c r="H43" s="159"/>
      <x:c r="I43" s="146"/>
      <x:c r="J43" s="146"/>
      <x:c r="K43" s="146"/>
      <x:c r="L43" s="146"/>
      <x:c r="M43" s="146"/>
      <x:c r="N43" s="146"/>
    </x:row>
    <x:row r="44" ht="48" customHeight="1">
      <x:c r="A44" s="159" t="n">
        <x:v>7</x:v>
      </x:c>
      <x:c r="B44" s="159" t="str">
        <x:v>Generic fallback</x:v>
      </x:c>
      <x:c r="C44" s="159" t="str">
        <x:f>IF(COUNT(C24:C29)&lt;6,"",IF(COUNTIF(C38:C43,"Yes")&lt;3,"Yes","No"))</x:f>
      </x:c>
      <x:c r="D44" s="159" t="str">
        <x:f>IF(C44="Yes","Keep building meals around vegetables, protein-rich foods, wholegrains, and regular fluids.","")</x:f>
      </x:c>
      <x:c r="E44" s="159"/>
      <x:c r="F44" s="159"/>
      <x:c r="G44" s="159"/>
      <x:c r="H44" s="159"/>
      <x:c r="I44" s="146"/>
      <x:c r="J44" s="146"/>
      <x:c r="K44" s="146"/>
      <x:c r="L44" s="146"/>
      <x:c r="M44" s="146"/>
      <x:c r="N44" s="146"/>
    </x:row>
  </x:sheetData>
  <x:mergeCells>
    <x:mergeCell ref="A1:N1"/>
    <x:mergeCell ref="A2:N3"/>
    <x:mergeCell ref="A22:H22"/>
    <x:mergeCell ref="B31:F31"/>
    <x:mergeCell ref="B32:F32"/>
    <x:mergeCell ref="B33:F34"/>
    <x:mergeCell ref="A36:H36"/>
    <x:mergeCell ref="D37:H37"/>
    <x:mergeCell ref="D38:H38"/>
    <x:mergeCell ref="D39:H39"/>
    <x:mergeCell ref="D40:H40"/>
    <x:mergeCell ref="D41:H41"/>
    <x:mergeCell ref="D42:H42"/>
    <x:mergeCell ref="D43:H43"/>
    <x:mergeCell ref="D44:H44"/>
    <x:mergeCell ref="J4:N4"/>
    <x:mergeCell ref="J10:N14"/>
  </x:mergeCells>
  <x:conditionalFormatting sqref="C38:C44">
    <x:cfRule type="cellIs" dxfId="0" priority="1" operator="equal">
      <x:formula>"Yes"</x:formula>
    </x:cfRule>
  </x:conditionalFormatting>
  <x:dataValidations count="16">
    <x:dataValidation type="list" sqref="E5">
      <x:formula1>"18-24,25-34,35-44,45-54,55-64,65+"</x:formula1>
    </x:dataValidation>
    <x:dataValidation type="list" sqref="E6">
      <x:formula1>"Female,Male,Non-binary,Prefer not to say"</x:formula1>
    </x:dataValidation>
    <x:dataValidation type="list" sqref="E7">
      <x:formula1>"Improve health,Weight management,Sports performance,Improve energy levels,General wellbeing"</x:formula1>
    </x:dataValidation>
    <x:dataValidation type="list" sqref="E8">
      <x:formula1>"None,1 portion,2 portions,3 or more portions"</x:formula1>
    </x:dataValidation>
    <x:dataValidation type="list" sqref="E9">
      <x:formula1>"None,1 portion,2 portions,3 or more portions"</x:formula1>
    </x:dataValidation>
    <x:dataValidation type="list" sqref="E10">
      <x:formula1>"Rarely or never,1-2 times per week,Most days,Daily"</x:formula1>
    </x:dataValidation>
    <x:dataValidation type="list" sqref="E11">
      <x:formula1>"Rarely or never,1-2 times per month,1-2 times per week,3 or more times per week"</x:formula1>
    </x:dataValidation>
    <x:dataValidation type="list" sqref="E12">
      <x:formula1>"Less than once daily,Once daily,Twice daily,With most meals"</x:formula1>
    </x:dataValidation>
    <x:dataValidation type="list" sqref="E13">
      <x:formula1>"Rarely,Sometimes,Often,Almost always"</x:formula1>
    </x:dataValidation>
    <x:dataValidation type="list" sqref="E14">
      <x:formula1>"Less than 1 litre,1-1.5 litres,1.5-2 litres,More than 2 litres"</x:formula1>
    </x:dataValidation>
    <x:dataValidation type="list" sqref="E15">
      <x:formula1>"Daily,Several times per week,Occasionally,Rarely or never"</x:formula1>
    </x:dataValidation>
    <x:dataValidation type="list" sqref="E16">
      <x:formula1>"Rarely,A few days per week,Most days,Daily"</x:formula1>
    </x:dataValidation>
    <x:dataValidation type="list" sqref="E17">
      <x:formula1>"Most days,A few times per week,Occasionally,Rarely or never"</x:formula1>
    </x:dataValidation>
    <x:dataValidation type="list" sqref="E18">
      <x:formula1>"Rarely,Sometimes,Often,Almost always"</x:formula1>
    </x:dataValidation>
    <x:dataValidation type="list" sqref="E19">
      <x:formula1>"0 days,1-2 days,3-4 days,5 or more days"</x:formula1>
    </x:dataValidation>
    <x:dataValidation type="list" sqref="E20">
      <x:formula1>"Poor,Fair,Good,Very good"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20" hidden="0" customWidth="1"/>
    <x:col min="4" max="4" width="24" hidden="0" customWidth="1"/>
    <x:col min="5" max="5" width="20" hidden="0" customWidth="1"/>
    <x:col min="6" max="6" width="20" hidden="0" customWidth="1"/>
    <x:col min="7" max="7" width="36" hidden="0" customWidth="1"/>
    <x:col min="8" max="8" width="40" hidden="0" customWidth="1"/>
    <x:col min="9" max="9" width="32" hidden="0" customWidth="1"/>
    <x:col min="10" max="10" width="15" hidden="0" customWidth="1"/>
    <x:col min="11" max="11" width="34" hidden="0" customWidth="1"/>
    <x:col min="12" max="12" width="36" hidden="0" customWidth="1"/>
    <x:col min="13" max="13" width="34" hidden="0" customWidth="1"/>
    <x:col min="14" max="14" width="30" hidden="0" customWidth="1"/>
    <x:col min="15" max="15" width="30" hidden="0" customWidth="1"/>
    <x:col min="16" max="16" width="12" hidden="0" customWidth="1"/>
    <x:col min="17" max="17" width="20" hidden="0" customWidth="1"/>
    <x:col min="18" max="18" width="34" hidden="0" customWidth="1"/>
  </x:cols>
  <x:sheetData>
    <x:row r="1" ht="34" customHeight="1">
      <x:c r="A1" s="134" t="str">
        <x:v>Proposed Changes</x:v>
      </x:c>
      <x:c r="B1" s="134"/>
      <x:c r="C1" s="134"/>
      <x:c r="D1" s="134"/>
      <x:c r="E1" s="134"/>
      <x:c r="F1" s="134"/>
      <x:c r="G1" s="134"/>
      <x:c r="H1" s="134"/>
      <x:c r="I1" s="134"/>
      <x:c r="J1" s="134"/>
      <x:c r="K1" s="134"/>
      <x:c r="L1" s="134"/>
      <x:c r="M1" s="134"/>
      <x:c r="N1" s="134"/>
      <x:c r="O1" s="134"/>
      <x:c r="P1" s="134"/>
      <x:c r="Q1" s="134"/>
      <x:c r="R1" s="134"/>
    </x:row>
    <x:row r="2" ht="28" customHeight="1">
      <x:c r="A2" s="135" t="str">
        <x:v>Add implementation-ready clinical content changes below. Each row can represent a question, answer option, flow rule, result rule, or advice change.</x:v>
      </x:c>
      <x:c r="B2" s="135"/>
      <x:c r="C2" s="135"/>
      <x:c r="D2" s="135"/>
      <x:c r="E2" s="135"/>
      <x:c r="F2" s="135"/>
      <x:c r="G2" s="135"/>
      <x:c r="H2" s="135"/>
      <x:c r="I2" s="135"/>
      <x:c r="J2" s="135"/>
      <x:c r="K2" s="135"/>
      <x:c r="L2" s="135"/>
      <x:c r="M2" s="135"/>
      <x:c r="N2" s="135"/>
      <x:c r="O2" s="135"/>
      <x:c r="P2" s="135"/>
      <x:c r="Q2" s="135"/>
      <x:c r="R2" s="135"/>
    </x:row>
    <x:row r="3" ht="28" customHeight="1">
      <x:c r="A3" s="135"/>
      <x:c r="B3" s="135"/>
      <x:c r="C3" s="135"/>
      <x:c r="D3" s="135"/>
      <x:c r="E3" s="135"/>
      <x:c r="F3" s="135"/>
      <x:c r="G3" s="135"/>
      <x:c r="H3" s="135"/>
      <x:c r="I3" s="135"/>
      <x:c r="J3" s="135"/>
      <x:c r="K3" s="135"/>
      <x:c r="L3" s="135"/>
      <x:c r="M3" s="135"/>
      <x:c r="N3" s="135"/>
      <x:c r="O3" s="135"/>
      <x:c r="P3" s="135"/>
      <x:c r="Q3" s="135"/>
      <x:c r="R3" s="135"/>
    </x:row>
    <x:row r="4" ht="34" customHeight="1">
      <x:c r="A4" s="158" t="str">
        <x:v>Change ID</x:v>
      </x:c>
      <x:c r="B4" s="158" t="str">
        <x:v>Action</x:v>
      </x:c>
      <x:c r="C4" s="158" t="str">
        <x:v>Content Type</x:v>
      </x:c>
      <x:c r="D4" s="158" t="str">
        <x:v>Target Step / Section</x:v>
      </x:c>
      <x:c r="E4" s="158" t="str">
        <x:v>Existing ID</x:v>
      </x:c>
      <x:c r="F4" s="158" t="str">
        <x:v>Proposed New ID</x:v>
      </x:c>
      <x:c r="G4" s="158" t="str">
        <x:v>Current Wording / Rule</x:v>
      </x:c>
      <x:c r="H4" s="158" t="str">
        <x:v>Proposed Wording / Rule</x:v>
      </x:c>
      <x:c r="I4" s="158" t="str">
        <x:v>Answer Options / Values</x:v>
      </x:c>
      <x:c r="J4" s="158" t="str">
        <x:v>Score(s)</x:v>
      </x:c>
      <x:c r="K4" s="158" t="str">
        <x:v>Condition / Branch Logic</x:v>
      </x:c>
      <x:c r="L4" s="158" t="str">
        <x:v>Advice / Result</x:v>
      </x:c>
      <x:c r="M4" s="158" t="str">
        <x:v>Clinical Rationale</x:v>
      </x:c>
      <x:c r="N4" s="158" t="str">
        <x:v>Evidence / Source</x:v>
      </x:c>
      <x:c r="O4" s="158" t="str">
        <x:v>Safety Concern</x:v>
      </x:c>
      <x:c r="P4" s="158" t="str">
        <x:v>Priority</x:v>
      </x:c>
      <x:c r="Q4" s="158" t="str">
        <x:v>Approval Status</x:v>
      </x:c>
      <x:c r="R4" s="158" t="str">
        <x:v>Implementation Notes</x:v>
      </x:c>
    </x:row>
    <x:row r="5" ht="48" customHeight="1">
      <x:c r="A5" s="159" t="str">
        <x:v>CHG-001</x:v>
      </x:c>
      <x:c r="B5" s="165" t="str"/>
      <x:c r="C5" s="165" t="str"/>
      <x:c r="D5" s="165" t="str"/>
      <x:c r="E5" s="165" t="str"/>
      <x:c r="F5" s="165" t="str"/>
      <x:c r="G5" s="165" t="str"/>
      <x:c r="H5" s="165" t="str"/>
      <x:c r="I5" s="165" t="str"/>
      <x:c r="J5" s="165" t="str"/>
      <x:c r="K5" s="165" t="str"/>
      <x:c r="L5" s="165" t="str"/>
      <x:c r="M5" s="165" t="str"/>
      <x:c r="N5" s="165" t="str"/>
      <x:c r="O5" s="166" t="str"/>
      <x:c r="P5" s="165" t="str">
        <x:v>Medium</x:v>
      </x:c>
      <x:c r="Q5" s="165" t="str">
        <x:v>Draft</x:v>
      </x:c>
      <x:c r="R5" s="165" t="str"/>
    </x:row>
    <x:row r="6" ht="48" customHeight="1">
      <x:c r="A6" s="159" t="str">
        <x:v>CHG-002</x:v>
      </x:c>
      <x:c r="B6" s="165" t="str"/>
      <x:c r="C6" s="165" t="str"/>
      <x:c r="D6" s="165" t="str"/>
      <x:c r="E6" s="165" t="str"/>
      <x:c r="F6" s="165" t="str"/>
      <x:c r="G6" s="165" t="str"/>
      <x:c r="H6" s="165" t="str"/>
      <x:c r="I6" s="165" t="str"/>
      <x:c r="J6" s="165" t="str"/>
      <x:c r="K6" s="165" t="str"/>
      <x:c r="L6" s="165" t="str"/>
      <x:c r="M6" s="165" t="str"/>
      <x:c r="N6" s="165" t="str"/>
      <x:c r="O6" s="166" t="str"/>
      <x:c r="P6" s="165" t="str">
        <x:v>Medium</x:v>
      </x:c>
      <x:c r="Q6" s="165" t="str">
        <x:v>Draft</x:v>
      </x:c>
      <x:c r="R6" s="165" t="str"/>
    </x:row>
    <x:row r="7" ht="48" customHeight="1">
      <x:c r="A7" s="159" t="str">
        <x:v>CHG-003</x:v>
      </x:c>
      <x:c r="B7" s="165" t="str"/>
      <x:c r="C7" s="165" t="str"/>
      <x:c r="D7" s="165" t="str"/>
      <x:c r="E7" s="165" t="str"/>
      <x:c r="F7" s="165" t="str"/>
      <x:c r="G7" s="165" t="str"/>
      <x:c r="H7" s="165" t="str"/>
      <x:c r="I7" s="165" t="str"/>
      <x:c r="J7" s="165" t="str"/>
      <x:c r="K7" s="165" t="str"/>
      <x:c r="L7" s="165" t="str"/>
      <x:c r="M7" s="165" t="str"/>
      <x:c r="N7" s="165" t="str"/>
      <x:c r="O7" s="166" t="str"/>
      <x:c r="P7" s="165" t="str">
        <x:v>Medium</x:v>
      </x:c>
      <x:c r="Q7" s="165" t="str">
        <x:v>Draft</x:v>
      </x:c>
      <x:c r="R7" s="165" t="str"/>
    </x:row>
    <x:row r="8" ht="48" customHeight="1">
      <x:c r="A8" s="159" t="str">
        <x:v>CHG-004</x:v>
      </x:c>
      <x:c r="B8" s="165" t="str"/>
      <x:c r="C8" s="165" t="str"/>
      <x:c r="D8" s="165" t="str"/>
      <x:c r="E8" s="165" t="str"/>
      <x:c r="F8" s="165" t="str"/>
      <x:c r="G8" s="165" t="str"/>
      <x:c r="H8" s="165" t="str"/>
      <x:c r="I8" s="165" t="str"/>
      <x:c r="J8" s="165" t="str"/>
      <x:c r="K8" s="165" t="str"/>
      <x:c r="L8" s="165" t="str"/>
      <x:c r="M8" s="165" t="str"/>
      <x:c r="N8" s="165" t="str"/>
      <x:c r="O8" s="166" t="str"/>
      <x:c r="P8" s="165" t="str">
        <x:v>Medium</x:v>
      </x:c>
      <x:c r="Q8" s="165" t="str">
        <x:v>Draft</x:v>
      </x:c>
      <x:c r="R8" s="165" t="str"/>
    </x:row>
    <x:row r="9" ht="48" customHeight="1">
      <x:c r="A9" s="159" t="str">
        <x:v>CHG-005</x:v>
      </x:c>
      <x:c r="B9" s="165" t="str"/>
      <x:c r="C9" s="165" t="str"/>
      <x:c r="D9" s="165" t="str"/>
      <x:c r="E9" s="165" t="str"/>
      <x:c r="F9" s="165" t="str"/>
      <x:c r="G9" s="165" t="str"/>
      <x:c r="H9" s="165" t="str"/>
      <x:c r="I9" s="165" t="str"/>
      <x:c r="J9" s="165" t="str"/>
      <x:c r="K9" s="165" t="str"/>
      <x:c r="L9" s="165" t="str"/>
      <x:c r="M9" s="165" t="str"/>
      <x:c r="N9" s="165" t="str"/>
      <x:c r="O9" s="166" t="str"/>
      <x:c r="P9" s="165" t="str">
        <x:v>Medium</x:v>
      </x:c>
      <x:c r="Q9" s="165" t="str">
        <x:v>Draft</x:v>
      </x:c>
      <x:c r="R9" s="165" t="str"/>
    </x:row>
    <x:row r="10" ht="48" customHeight="1">
      <x:c r="A10" s="159" t="str">
        <x:v>CHG-006</x:v>
      </x:c>
      <x:c r="B10" s="165" t="str"/>
      <x:c r="C10" s="165" t="str"/>
      <x:c r="D10" s="165" t="str"/>
      <x:c r="E10" s="165" t="str"/>
      <x:c r="F10" s="165" t="str"/>
      <x:c r="G10" s="165" t="str"/>
      <x:c r="H10" s="165" t="str"/>
      <x:c r="I10" s="165" t="str"/>
      <x:c r="J10" s="165" t="str"/>
      <x:c r="K10" s="165" t="str"/>
      <x:c r="L10" s="165" t="str"/>
      <x:c r="M10" s="165" t="str"/>
      <x:c r="N10" s="165" t="str"/>
      <x:c r="O10" s="166" t="str"/>
      <x:c r="P10" s="165" t="str">
        <x:v>Medium</x:v>
      </x:c>
      <x:c r="Q10" s="165" t="str">
        <x:v>Draft</x:v>
      </x:c>
      <x:c r="R10" s="165" t="str"/>
    </x:row>
    <x:row r="11" ht="48" customHeight="1">
      <x:c r="A11" s="159" t="str">
        <x:v>CHG-007</x:v>
      </x:c>
      <x:c r="B11" s="165" t="str"/>
      <x:c r="C11" s="165" t="str"/>
      <x:c r="D11" s="165" t="str"/>
      <x:c r="E11" s="165" t="str"/>
      <x:c r="F11" s="165" t="str"/>
      <x:c r="G11" s="165" t="str"/>
      <x:c r="H11" s="165" t="str"/>
      <x:c r="I11" s="165" t="str"/>
      <x:c r="J11" s="165" t="str"/>
      <x:c r="K11" s="165" t="str"/>
      <x:c r="L11" s="165" t="str"/>
      <x:c r="M11" s="165" t="str"/>
      <x:c r="N11" s="165" t="str"/>
      <x:c r="O11" s="166" t="str"/>
      <x:c r="P11" s="165" t="str">
        <x:v>Medium</x:v>
      </x:c>
      <x:c r="Q11" s="165" t="str">
        <x:v>Draft</x:v>
      </x:c>
      <x:c r="R11" s="165" t="str"/>
    </x:row>
    <x:row r="12" ht="48" customHeight="1">
      <x:c r="A12" s="159" t="str">
        <x:v>CHG-008</x:v>
      </x:c>
      <x:c r="B12" s="165" t="str"/>
      <x:c r="C12" s="165" t="str"/>
      <x:c r="D12" s="165" t="str"/>
      <x:c r="E12" s="165" t="str"/>
      <x:c r="F12" s="165" t="str"/>
      <x:c r="G12" s="165" t="str"/>
      <x:c r="H12" s="165" t="str"/>
      <x:c r="I12" s="165" t="str"/>
      <x:c r="J12" s="165" t="str"/>
      <x:c r="K12" s="165" t="str"/>
      <x:c r="L12" s="165" t="str"/>
      <x:c r="M12" s="165" t="str"/>
      <x:c r="N12" s="165" t="str"/>
      <x:c r="O12" s="166" t="str"/>
      <x:c r="P12" s="165" t="str">
        <x:v>Medium</x:v>
      </x:c>
      <x:c r="Q12" s="165" t="str">
        <x:v>Draft</x:v>
      </x:c>
      <x:c r="R12" s="165" t="str"/>
    </x:row>
    <x:row r="13" ht="48" customHeight="1">
      <x:c r="A13" s="159" t="str">
        <x:v>CHG-009</x:v>
      </x:c>
      <x:c r="B13" s="165" t="str"/>
      <x:c r="C13" s="165" t="str"/>
      <x:c r="D13" s="165" t="str"/>
      <x:c r="E13" s="165" t="str"/>
      <x:c r="F13" s="165" t="str"/>
      <x:c r="G13" s="165" t="str"/>
      <x:c r="H13" s="165" t="str"/>
      <x:c r="I13" s="165" t="str"/>
      <x:c r="J13" s="165" t="str"/>
      <x:c r="K13" s="165" t="str"/>
      <x:c r="L13" s="165" t="str"/>
      <x:c r="M13" s="165" t="str"/>
      <x:c r="N13" s="165" t="str"/>
      <x:c r="O13" s="166" t="str"/>
      <x:c r="P13" s="165" t="str">
        <x:v>Medium</x:v>
      </x:c>
      <x:c r="Q13" s="165" t="str">
        <x:v>Draft</x:v>
      </x:c>
      <x:c r="R13" s="165" t="str"/>
    </x:row>
    <x:row r="14" ht="48" customHeight="1">
      <x:c r="A14" s="159" t="str">
        <x:v>CHG-010</x:v>
      </x:c>
      <x:c r="B14" s="165" t="str"/>
      <x:c r="C14" s="165" t="str"/>
      <x:c r="D14" s="165" t="str"/>
      <x:c r="E14" s="165" t="str"/>
      <x:c r="F14" s="165" t="str"/>
      <x:c r="G14" s="165" t="str"/>
      <x:c r="H14" s="165" t="str"/>
      <x:c r="I14" s="165" t="str"/>
      <x:c r="J14" s="165" t="str"/>
      <x:c r="K14" s="165" t="str"/>
      <x:c r="L14" s="165" t="str"/>
      <x:c r="M14" s="165" t="str"/>
      <x:c r="N14" s="165" t="str"/>
      <x:c r="O14" s="166" t="str"/>
      <x:c r="P14" s="165" t="str">
        <x:v>Medium</x:v>
      </x:c>
      <x:c r="Q14" s="165" t="str">
        <x:v>Draft</x:v>
      </x:c>
      <x:c r="R14" s="165" t="str"/>
    </x:row>
    <x:row r="15" ht="48" customHeight="1">
      <x:c r="A15" s="159" t="str">
        <x:v>CHG-011</x:v>
      </x:c>
      <x:c r="B15" s="165" t="str"/>
      <x:c r="C15" s="165" t="str"/>
      <x:c r="D15" s="165" t="str"/>
      <x:c r="E15" s="165" t="str"/>
      <x:c r="F15" s="165" t="str"/>
      <x:c r="G15" s="165" t="str"/>
      <x:c r="H15" s="165" t="str"/>
      <x:c r="I15" s="165" t="str"/>
      <x:c r="J15" s="165" t="str"/>
      <x:c r="K15" s="165" t="str"/>
      <x:c r="L15" s="165" t="str"/>
      <x:c r="M15" s="165" t="str"/>
      <x:c r="N15" s="165" t="str"/>
      <x:c r="O15" s="166" t="str"/>
      <x:c r="P15" s="165" t="str">
        <x:v>Medium</x:v>
      </x:c>
      <x:c r="Q15" s="165" t="str">
        <x:v>Draft</x:v>
      </x:c>
      <x:c r="R15" s="165" t="str"/>
    </x:row>
    <x:row r="16" ht="48" customHeight="1">
      <x:c r="A16" s="159" t="str">
        <x:v>CHG-012</x:v>
      </x:c>
      <x:c r="B16" s="165" t="str"/>
      <x:c r="C16" s="165" t="str"/>
      <x:c r="D16" s="165" t="str"/>
      <x:c r="E16" s="165" t="str"/>
      <x:c r="F16" s="165" t="str"/>
      <x:c r="G16" s="165" t="str"/>
      <x:c r="H16" s="165" t="str"/>
      <x:c r="I16" s="165" t="str"/>
      <x:c r="J16" s="165" t="str"/>
      <x:c r="K16" s="165" t="str"/>
      <x:c r="L16" s="165" t="str"/>
      <x:c r="M16" s="165" t="str"/>
      <x:c r="N16" s="165" t="str"/>
      <x:c r="O16" s="166" t="str"/>
      <x:c r="P16" s="165" t="str">
        <x:v>Medium</x:v>
      </x:c>
      <x:c r="Q16" s="165" t="str">
        <x:v>Draft</x:v>
      </x:c>
      <x:c r="R16" s="165" t="str"/>
    </x:row>
    <x:row r="17" ht="48" customHeight="1">
      <x:c r="A17" s="159" t="str">
        <x:v>CHG-013</x:v>
      </x:c>
      <x:c r="B17" s="165" t="str"/>
      <x:c r="C17" s="165" t="str"/>
      <x:c r="D17" s="165" t="str"/>
      <x:c r="E17" s="165" t="str"/>
      <x:c r="F17" s="165" t="str"/>
      <x:c r="G17" s="165" t="str"/>
      <x:c r="H17" s="165" t="str"/>
      <x:c r="I17" s="165" t="str"/>
      <x:c r="J17" s="165" t="str"/>
      <x:c r="K17" s="165" t="str"/>
      <x:c r="L17" s="165" t="str"/>
      <x:c r="M17" s="165" t="str"/>
      <x:c r="N17" s="165" t="str"/>
      <x:c r="O17" s="166" t="str"/>
      <x:c r="P17" s="165" t="str">
        <x:v>Medium</x:v>
      </x:c>
      <x:c r="Q17" s="165" t="str">
        <x:v>Draft</x:v>
      </x:c>
      <x:c r="R17" s="165" t="str"/>
    </x:row>
    <x:row r="18" ht="48" customHeight="1">
      <x:c r="A18" s="159" t="str">
        <x:v>CHG-014</x:v>
      </x:c>
      <x:c r="B18" s="165" t="str"/>
      <x:c r="C18" s="165" t="str"/>
      <x:c r="D18" s="165" t="str"/>
      <x:c r="E18" s="165" t="str"/>
      <x:c r="F18" s="165" t="str"/>
      <x:c r="G18" s="165" t="str"/>
      <x:c r="H18" s="165" t="str"/>
      <x:c r="I18" s="165" t="str"/>
      <x:c r="J18" s="165" t="str"/>
      <x:c r="K18" s="165" t="str"/>
      <x:c r="L18" s="165" t="str"/>
      <x:c r="M18" s="165" t="str"/>
      <x:c r="N18" s="165" t="str"/>
      <x:c r="O18" s="166" t="str"/>
      <x:c r="P18" s="165" t="str">
        <x:v>Medium</x:v>
      </x:c>
      <x:c r="Q18" s="165" t="str">
        <x:v>Draft</x:v>
      </x:c>
      <x:c r="R18" s="165" t="str"/>
    </x:row>
    <x:row r="19" ht="48" customHeight="1">
      <x:c r="A19" s="159" t="str">
        <x:v>CHG-015</x:v>
      </x:c>
      <x:c r="B19" s="165" t="str"/>
      <x:c r="C19" s="165" t="str"/>
      <x:c r="D19" s="165" t="str"/>
      <x:c r="E19" s="165" t="str"/>
      <x:c r="F19" s="165" t="str"/>
      <x:c r="G19" s="165" t="str"/>
      <x:c r="H19" s="165" t="str"/>
      <x:c r="I19" s="165" t="str"/>
      <x:c r="J19" s="165" t="str"/>
      <x:c r="K19" s="165" t="str"/>
      <x:c r="L19" s="165" t="str"/>
      <x:c r="M19" s="165" t="str"/>
      <x:c r="N19" s="165" t="str"/>
      <x:c r="O19" s="166" t="str"/>
      <x:c r="P19" s="165" t="str">
        <x:v>Medium</x:v>
      </x:c>
      <x:c r="Q19" s="165" t="str">
        <x:v>Draft</x:v>
      </x:c>
      <x:c r="R19" s="165" t="str"/>
    </x:row>
    <x:row r="20" ht="48" customHeight="1">
      <x:c r="A20" s="159" t="str">
        <x:v>CHG-016</x:v>
      </x:c>
      <x:c r="B20" s="165" t="str"/>
      <x:c r="C20" s="165" t="str"/>
      <x:c r="D20" s="165" t="str"/>
      <x:c r="E20" s="165" t="str"/>
      <x:c r="F20" s="165" t="str"/>
      <x:c r="G20" s="165" t="str"/>
      <x:c r="H20" s="165" t="str"/>
      <x:c r="I20" s="165" t="str"/>
      <x:c r="J20" s="165" t="str"/>
      <x:c r="K20" s="165" t="str"/>
      <x:c r="L20" s="165" t="str"/>
      <x:c r="M20" s="165" t="str"/>
      <x:c r="N20" s="165" t="str"/>
      <x:c r="O20" s="166" t="str"/>
      <x:c r="P20" s="165" t="str">
        <x:v>Medium</x:v>
      </x:c>
      <x:c r="Q20" s="165" t="str">
        <x:v>Draft</x:v>
      </x:c>
      <x:c r="R20" s="165" t="str"/>
    </x:row>
    <x:row r="21" ht="48" customHeight="1">
      <x:c r="A21" s="159" t="str">
        <x:v>CHG-017</x:v>
      </x:c>
      <x:c r="B21" s="165" t="str"/>
      <x:c r="C21" s="165" t="str"/>
      <x:c r="D21" s="165" t="str"/>
      <x:c r="E21" s="165" t="str"/>
      <x:c r="F21" s="165" t="str"/>
      <x:c r="G21" s="165" t="str"/>
      <x:c r="H21" s="165" t="str"/>
      <x:c r="I21" s="165" t="str"/>
      <x:c r="J21" s="165" t="str"/>
      <x:c r="K21" s="165" t="str"/>
      <x:c r="L21" s="165" t="str"/>
      <x:c r="M21" s="165" t="str"/>
      <x:c r="N21" s="165" t="str"/>
      <x:c r="O21" s="166" t="str"/>
      <x:c r="P21" s="165" t="str">
        <x:v>Medium</x:v>
      </x:c>
      <x:c r="Q21" s="165" t="str">
        <x:v>Draft</x:v>
      </x:c>
      <x:c r="R21" s="165" t="str"/>
    </x:row>
    <x:row r="22" ht="48" customHeight="1">
      <x:c r="A22" s="159" t="str">
        <x:v>CHG-018</x:v>
      </x:c>
      <x:c r="B22" s="165" t="str"/>
      <x:c r="C22" s="165" t="str"/>
      <x:c r="D22" s="165" t="str"/>
      <x:c r="E22" s="165" t="str"/>
      <x:c r="F22" s="165" t="str"/>
      <x:c r="G22" s="165" t="str"/>
      <x:c r="H22" s="165" t="str"/>
      <x:c r="I22" s="165" t="str"/>
      <x:c r="J22" s="165" t="str"/>
      <x:c r="K22" s="165" t="str"/>
      <x:c r="L22" s="165" t="str"/>
      <x:c r="M22" s="165" t="str"/>
      <x:c r="N22" s="165" t="str"/>
      <x:c r="O22" s="166" t="str"/>
      <x:c r="P22" s="165" t="str">
        <x:v>Medium</x:v>
      </x:c>
      <x:c r="Q22" s="165" t="str">
        <x:v>Draft</x:v>
      </x:c>
      <x:c r="R22" s="165" t="str"/>
    </x:row>
    <x:row r="23" ht="48" customHeight="1">
      <x:c r="A23" s="159" t="str">
        <x:v>CHG-019</x:v>
      </x:c>
      <x:c r="B23" s="165" t="str"/>
      <x:c r="C23" s="165" t="str"/>
      <x:c r="D23" s="165" t="str"/>
      <x:c r="E23" s="165" t="str"/>
      <x:c r="F23" s="165" t="str"/>
      <x:c r="G23" s="165" t="str"/>
      <x:c r="H23" s="165" t="str"/>
      <x:c r="I23" s="165" t="str"/>
      <x:c r="J23" s="165" t="str"/>
      <x:c r="K23" s="165" t="str"/>
      <x:c r="L23" s="165" t="str"/>
      <x:c r="M23" s="165" t="str"/>
      <x:c r="N23" s="165" t="str"/>
      <x:c r="O23" s="166" t="str"/>
      <x:c r="P23" s="165" t="str">
        <x:v>Medium</x:v>
      </x:c>
      <x:c r="Q23" s="165" t="str">
        <x:v>Draft</x:v>
      </x:c>
      <x:c r="R23" s="165" t="str"/>
    </x:row>
    <x:row r="24" ht="48" customHeight="1">
      <x:c r="A24" s="159" t="str">
        <x:v>CHG-020</x:v>
      </x:c>
      <x:c r="B24" s="165" t="str"/>
      <x:c r="C24" s="165" t="str"/>
      <x:c r="D24" s="165" t="str"/>
      <x:c r="E24" s="165" t="str"/>
      <x:c r="F24" s="165" t="str"/>
      <x:c r="G24" s="165" t="str"/>
      <x:c r="H24" s="165" t="str"/>
      <x:c r="I24" s="165" t="str"/>
      <x:c r="J24" s="165" t="str"/>
      <x:c r="K24" s="165" t="str"/>
      <x:c r="L24" s="165" t="str"/>
      <x:c r="M24" s="165" t="str"/>
      <x:c r="N24" s="165" t="str"/>
      <x:c r="O24" s="166" t="str"/>
      <x:c r="P24" s="165" t="str">
        <x:v>Medium</x:v>
      </x:c>
      <x:c r="Q24" s="165" t="str">
        <x:v>Draft</x:v>
      </x:c>
      <x:c r="R24" s="165" t="str"/>
    </x:row>
    <x:row r="25" ht="48" customHeight="1">
      <x:c r="A25" s="159" t="str">
        <x:v>CHG-021</x:v>
      </x:c>
      <x:c r="B25" s="165" t="str"/>
      <x:c r="C25" s="165" t="str"/>
      <x:c r="D25" s="165" t="str"/>
      <x:c r="E25" s="165" t="str"/>
      <x:c r="F25" s="165" t="str"/>
      <x:c r="G25" s="165" t="str"/>
      <x:c r="H25" s="165" t="str"/>
      <x:c r="I25" s="165" t="str"/>
      <x:c r="J25" s="165" t="str"/>
      <x:c r="K25" s="165" t="str"/>
      <x:c r="L25" s="165" t="str"/>
      <x:c r="M25" s="165" t="str"/>
      <x:c r="N25" s="165" t="str"/>
      <x:c r="O25" s="166" t="str"/>
      <x:c r="P25" s="165" t="str">
        <x:v>Medium</x:v>
      </x:c>
      <x:c r="Q25" s="165" t="str">
        <x:v>Draft</x:v>
      </x:c>
      <x:c r="R25" s="165" t="str"/>
    </x:row>
    <x:row r="26" ht="48" customHeight="1">
      <x:c r="A26" s="159" t="str">
        <x:v>CHG-022</x:v>
      </x:c>
      <x:c r="B26" s="165" t="str"/>
      <x:c r="C26" s="165" t="str"/>
      <x:c r="D26" s="165" t="str"/>
      <x:c r="E26" s="165" t="str"/>
      <x:c r="F26" s="165" t="str"/>
      <x:c r="G26" s="165" t="str"/>
      <x:c r="H26" s="165" t="str"/>
      <x:c r="I26" s="165" t="str"/>
      <x:c r="J26" s="165" t="str"/>
      <x:c r="K26" s="165" t="str"/>
      <x:c r="L26" s="165" t="str"/>
      <x:c r="M26" s="165" t="str"/>
      <x:c r="N26" s="165" t="str"/>
      <x:c r="O26" s="166" t="str"/>
      <x:c r="P26" s="165" t="str">
        <x:v>Medium</x:v>
      </x:c>
      <x:c r="Q26" s="165" t="str">
        <x:v>Draft</x:v>
      </x:c>
      <x:c r="R26" s="165" t="str"/>
    </x:row>
    <x:row r="27" ht="48" customHeight="1">
      <x:c r="A27" s="159" t="str">
        <x:v>CHG-023</x:v>
      </x:c>
      <x:c r="B27" s="165" t="str"/>
      <x:c r="C27" s="165" t="str"/>
      <x:c r="D27" s="165" t="str"/>
      <x:c r="E27" s="165" t="str"/>
      <x:c r="F27" s="165" t="str"/>
      <x:c r="G27" s="165" t="str"/>
      <x:c r="H27" s="165" t="str"/>
      <x:c r="I27" s="165" t="str"/>
      <x:c r="J27" s="165" t="str"/>
      <x:c r="K27" s="165" t="str"/>
      <x:c r="L27" s="165" t="str"/>
      <x:c r="M27" s="165" t="str"/>
      <x:c r="N27" s="165" t="str"/>
      <x:c r="O27" s="166" t="str"/>
      <x:c r="P27" s="165" t="str">
        <x:v>Medium</x:v>
      </x:c>
      <x:c r="Q27" s="165" t="str">
        <x:v>Draft</x:v>
      </x:c>
      <x:c r="R27" s="165" t="str"/>
    </x:row>
    <x:row r="28" ht="48" customHeight="1">
      <x:c r="A28" s="159" t="str">
        <x:v>CHG-024</x:v>
      </x:c>
      <x:c r="B28" s="165" t="str"/>
      <x:c r="C28" s="165" t="str"/>
      <x:c r="D28" s="165" t="str"/>
      <x:c r="E28" s="165" t="str"/>
      <x:c r="F28" s="165" t="str"/>
      <x:c r="G28" s="165" t="str"/>
      <x:c r="H28" s="165" t="str"/>
      <x:c r="I28" s="165" t="str"/>
      <x:c r="J28" s="165" t="str"/>
      <x:c r="K28" s="165" t="str"/>
      <x:c r="L28" s="165" t="str"/>
      <x:c r="M28" s="165" t="str"/>
      <x:c r="N28" s="165" t="str"/>
      <x:c r="O28" s="166" t="str"/>
      <x:c r="P28" s="165" t="str">
        <x:v>Medium</x:v>
      </x:c>
      <x:c r="Q28" s="165" t="str">
        <x:v>Draft</x:v>
      </x:c>
      <x:c r="R28" s="165" t="str"/>
    </x:row>
    <x:row r="29" ht="48" customHeight="1">
      <x:c r="A29" s="159" t="str">
        <x:v>CHG-025</x:v>
      </x:c>
      <x:c r="B29" s="165" t="str"/>
      <x:c r="C29" s="165" t="str"/>
      <x:c r="D29" s="165" t="str"/>
      <x:c r="E29" s="165" t="str"/>
      <x:c r="F29" s="165" t="str"/>
      <x:c r="G29" s="165" t="str"/>
      <x:c r="H29" s="165" t="str"/>
      <x:c r="I29" s="165" t="str"/>
      <x:c r="J29" s="165" t="str"/>
      <x:c r="K29" s="165" t="str"/>
      <x:c r="L29" s="165" t="str"/>
      <x:c r="M29" s="165" t="str"/>
      <x:c r="N29" s="165" t="str"/>
      <x:c r="O29" s="166" t="str"/>
      <x:c r="P29" s="165" t="str">
        <x:v>Medium</x:v>
      </x:c>
      <x:c r="Q29" s="165" t="str">
        <x:v>Draft</x:v>
      </x:c>
      <x:c r="R29" s="165" t="str"/>
    </x:row>
    <x:row r="30" ht="48" customHeight="1">
      <x:c r="A30" s="159" t="str">
        <x:v>CHG-026</x:v>
      </x:c>
      <x:c r="B30" s="165" t="str"/>
      <x:c r="C30" s="165" t="str"/>
      <x:c r="D30" s="165" t="str"/>
      <x:c r="E30" s="165" t="str"/>
      <x:c r="F30" s="165" t="str"/>
      <x:c r="G30" s="165" t="str"/>
      <x:c r="H30" s="165" t="str"/>
      <x:c r="I30" s="165" t="str"/>
      <x:c r="J30" s="165" t="str"/>
      <x:c r="K30" s="165" t="str"/>
      <x:c r="L30" s="165" t="str"/>
      <x:c r="M30" s="165" t="str"/>
      <x:c r="N30" s="165" t="str"/>
      <x:c r="O30" s="166" t="str"/>
      <x:c r="P30" s="165" t="str">
        <x:v>Medium</x:v>
      </x:c>
      <x:c r="Q30" s="165" t="str">
        <x:v>Draft</x:v>
      </x:c>
      <x:c r="R30" s="165" t="str"/>
    </x:row>
    <x:row r="31" ht="48" customHeight="1">
      <x:c r="A31" s="159" t="str">
        <x:v>CHG-027</x:v>
      </x:c>
      <x:c r="B31" s="165" t="str"/>
      <x:c r="C31" s="165" t="str"/>
      <x:c r="D31" s="165" t="str"/>
      <x:c r="E31" s="165" t="str"/>
      <x:c r="F31" s="165" t="str"/>
      <x:c r="G31" s="165" t="str"/>
      <x:c r="H31" s="165" t="str"/>
      <x:c r="I31" s="165" t="str"/>
      <x:c r="J31" s="165" t="str"/>
      <x:c r="K31" s="165" t="str"/>
      <x:c r="L31" s="165" t="str"/>
      <x:c r="M31" s="165" t="str"/>
      <x:c r="N31" s="165" t="str"/>
      <x:c r="O31" s="166" t="str"/>
      <x:c r="P31" s="165" t="str">
        <x:v>Medium</x:v>
      </x:c>
      <x:c r="Q31" s="165" t="str">
        <x:v>Draft</x:v>
      </x:c>
      <x:c r="R31" s="165" t="str"/>
    </x:row>
    <x:row r="32" ht="48" customHeight="1">
      <x:c r="A32" s="159" t="str">
        <x:v>CHG-028</x:v>
      </x:c>
      <x:c r="B32" s="165" t="str"/>
      <x:c r="C32" s="165" t="str"/>
      <x:c r="D32" s="165" t="str"/>
      <x:c r="E32" s="165" t="str"/>
      <x:c r="F32" s="165" t="str"/>
      <x:c r="G32" s="165" t="str"/>
      <x:c r="H32" s="165" t="str"/>
      <x:c r="I32" s="165" t="str"/>
      <x:c r="J32" s="165" t="str"/>
      <x:c r="K32" s="165" t="str"/>
      <x:c r="L32" s="165" t="str"/>
      <x:c r="M32" s="165" t="str"/>
      <x:c r="N32" s="165" t="str"/>
      <x:c r="O32" s="166" t="str"/>
      <x:c r="P32" s="165" t="str">
        <x:v>Medium</x:v>
      </x:c>
      <x:c r="Q32" s="165" t="str">
        <x:v>Draft</x:v>
      </x:c>
      <x:c r="R32" s="165" t="str"/>
    </x:row>
    <x:row r="33" ht="48" customHeight="1">
      <x:c r="A33" s="159" t="str">
        <x:v>CHG-029</x:v>
      </x:c>
      <x:c r="B33" s="165" t="str"/>
      <x:c r="C33" s="165" t="str"/>
      <x:c r="D33" s="165" t="str"/>
      <x:c r="E33" s="165" t="str"/>
      <x:c r="F33" s="165" t="str"/>
      <x:c r="G33" s="165" t="str"/>
      <x:c r="H33" s="165" t="str"/>
      <x:c r="I33" s="165" t="str"/>
      <x:c r="J33" s="165" t="str"/>
      <x:c r="K33" s="165" t="str"/>
      <x:c r="L33" s="165" t="str"/>
      <x:c r="M33" s="165" t="str"/>
      <x:c r="N33" s="165" t="str"/>
      <x:c r="O33" s="166" t="str"/>
      <x:c r="P33" s="165" t="str">
        <x:v>Medium</x:v>
      </x:c>
      <x:c r="Q33" s="165" t="str">
        <x:v>Draft</x:v>
      </x:c>
      <x:c r="R33" s="165" t="str"/>
    </x:row>
    <x:row r="34" ht="48" customHeight="1">
      <x:c r="A34" s="159" t="str">
        <x:v>CHG-030</x:v>
      </x:c>
      <x:c r="B34" s="165" t="str"/>
      <x:c r="C34" s="165" t="str"/>
      <x:c r="D34" s="165" t="str"/>
      <x:c r="E34" s="165" t="str"/>
      <x:c r="F34" s="165" t="str"/>
      <x:c r="G34" s="165" t="str"/>
      <x:c r="H34" s="165" t="str"/>
      <x:c r="I34" s="165" t="str"/>
      <x:c r="J34" s="165" t="str"/>
      <x:c r="K34" s="165" t="str"/>
      <x:c r="L34" s="165" t="str"/>
      <x:c r="M34" s="165" t="str"/>
      <x:c r="N34" s="165" t="str"/>
      <x:c r="O34" s="166" t="str"/>
      <x:c r="P34" s="165" t="str">
        <x:v>Medium</x:v>
      </x:c>
      <x:c r="Q34" s="165" t="str">
        <x:v>Draft</x:v>
      </x:c>
      <x:c r="R34" s="165" t="str"/>
    </x:row>
  </x:sheetData>
  <x:mergeCells>
    <x:mergeCell ref="A1:R1"/>
    <x:mergeCell ref="A2:R3"/>
  </x:mergeCells>
  <x:dataValidations count="5">
    <x:dataValidation type="list" sqref="B5:B34">
      <x:formula1>"Add,Revise,Remove,Reorder,Add branch,Change scoring"</x:formula1>
    </x:dataValidation>
    <x:dataValidation type="list" sqref="C5:C34">
      <x:formula1>"Question,Answer option,Flow rule,Score rule,Summary,Recommendation,Disclaimer"</x:formula1>
    </x:dataValidation>
    <x:dataValidation type="list" sqref="D5:D34">
      <x:formula1>"Contact,Basic information,Fruit and vegetable intake,Fibre and wholegrains,Protein habits,Hydration,Meal patterns,Lifestyle,Results,General"</x:formula1>
    </x:dataValidation>
    <x:dataValidation type="list" sqref="P5:P34">
      <x:formula1>"Low,Medium,High,Critical"</x:formula1>
    </x:dataValidation>
    <x:dataValidation type="list" sqref="Q5:Q34">
      <x:formula1>"Draft,Needs discussion,Approved,Rejected,Implemented"</x:formula1>
    </x:dataValidation>
  </x:dataValidations>
  <x:pageMargins left="0.7" right="0.7" top="0.75" bottom="0.75" header="0.3" footer="0.3"/>
  <x:tableParts count="1">
    <x:tablePart xmlns:r="http://schemas.openxmlformats.org/officeDocument/2006/relationships" r:id="R498292da008d412e"/>
  </x:tableParts>
</x:worksheet>
</file>