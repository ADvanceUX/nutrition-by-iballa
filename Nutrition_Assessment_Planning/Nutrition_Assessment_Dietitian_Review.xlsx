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jdoy\Nutrition by Iballa\Nutrition_Assessment_Planning\"/>
    </mc:Choice>
  </mc:AlternateContent>
  <xr:revisionPtr revIDLastSave="0" documentId="8_{6F7E8842-C207-4F47-BAA8-C34406615A88}" xr6:coauthVersionLast="47" xr6:coauthVersionMax="47" xr10:uidLastSave="{00000000-0000-0000-0000-000000000000}"/>
  <bookViews>
    <workbookView xWindow="-108" yWindow="-108" windowWidth="23256" windowHeight="12456" firstSheet="1" activeTab="4" xr2:uid="{00000000-000D-0000-FFFF-FFFF00000000}"/>
  </bookViews>
  <sheets>
    <sheet name="Overview" sheetId="1" r:id="rId1"/>
    <sheet name="Questions &amp; Answers" sheetId="2" r:id="rId2"/>
    <sheet name="Results Logic" sheetId="3" r:id="rId3"/>
    <sheet name="Flow Map" sheetId="4" r:id="rId4"/>
    <sheet name="Scenario Tester" sheetId="5" r:id="rId5"/>
    <sheet name="Proposed Changes" sheetId="6" r:id="rId6"/>
  </sheets>
  <calcPr calcId="191029"/>
</workbook>
</file>

<file path=xl/calcChain.xml><?xml version="1.0" encoding="utf-8"?>
<calcChain xmlns="http://schemas.openxmlformats.org/spreadsheetml/2006/main">
  <c r="C29" i="5" l="1"/>
  <c r="C28" i="5"/>
  <c r="C27" i="5"/>
  <c r="C26" i="5"/>
  <c r="C25" i="5"/>
  <c r="C24" i="5"/>
  <c r="G20" i="5"/>
  <c r="F20" i="5"/>
  <c r="G19" i="5"/>
  <c r="F19" i="5"/>
  <c r="G18" i="5"/>
  <c r="F18" i="5"/>
  <c r="G17" i="5"/>
  <c r="F17" i="5"/>
  <c r="G16" i="5"/>
  <c r="F16" i="5"/>
  <c r="G15" i="5"/>
  <c r="F15" i="5"/>
  <c r="G14" i="5"/>
  <c r="F14" i="5"/>
  <c r="G13" i="5"/>
  <c r="F13" i="5"/>
  <c r="G12" i="5"/>
  <c r="F12" i="5"/>
  <c r="G11" i="5"/>
  <c r="F11" i="5"/>
  <c r="G10" i="5"/>
  <c r="F10" i="5"/>
  <c r="G9" i="5"/>
  <c r="F9" i="5"/>
  <c r="G8" i="5"/>
  <c r="F8" i="5"/>
  <c r="G7" i="5"/>
  <c r="F7" i="5"/>
  <c r="G6" i="5"/>
  <c r="F6" i="5"/>
  <c r="G5" i="5"/>
  <c r="F5" i="5"/>
  <c r="C44" i="5" l="1"/>
  <c r="D44" i="5" s="1"/>
  <c r="C42" i="5"/>
  <c r="D42" i="5" s="1"/>
  <c r="C41" i="5"/>
  <c r="D41" i="5" s="1"/>
  <c r="C40" i="5"/>
  <c r="D40" i="5" s="1"/>
  <c r="F28" i="5"/>
  <c r="D28" i="5"/>
  <c r="F27" i="5"/>
  <c r="D27" i="5"/>
  <c r="C39" i="5"/>
  <c r="D39" i="5" s="1"/>
  <c r="C38" i="5"/>
  <c r="D38" i="5" s="1"/>
  <c r="F29" i="5"/>
  <c r="D29" i="5"/>
  <c r="B31" i="5"/>
  <c r="D26" i="5"/>
  <c r="D24" i="5"/>
  <c r="F24" i="5"/>
  <c r="C43" i="5"/>
  <c r="D43" i="5" s="1"/>
  <c r="F25" i="5"/>
  <c r="F26" i="5"/>
  <c r="D25" i="5"/>
  <c r="B32" i="5" l="1"/>
  <c r="B33" i="5"/>
</calcChain>
</file>

<file path=xl/sharedStrings.xml><?xml version="1.0" encoding="utf-8"?>
<sst xmlns="http://schemas.openxmlformats.org/spreadsheetml/2006/main" count="1271" uniqueCount="444">
  <si>
    <t>Nutrition Assessment: Dietitian Review Workbook</t>
  </si>
  <si>
    <t>Editable clinical-content review of the assessment currently implemented on the Nutrition by Iballa website.</t>
  </si>
  <si>
    <t>Purpose and Use</t>
  </si>
  <si>
    <t>This workbook documents the current assessment content and calculation rules for professional sanity checking. Pale-yellow cells are intended for dietitian input. Edits made here are review recommendations only and do not automatically change the website.</t>
  </si>
  <si>
    <t>Current Assessment Snapshot</t>
  </si>
  <si>
    <t>Clinical Safety Notice</t>
  </si>
  <si>
    <t>Steps</t>
  </si>
  <si>
    <t>The website states that this tool provides general educational insights only and does not diagnose or replace personalised medical or dietetic advice. Review wording, scores, thresholds, omissions, contraindications, referral triggers, and whether any answer could produce unsafe or misleading advice.</t>
  </si>
  <si>
    <t>Questions</t>
  </si>
  <si>
    <t>Answer options</t>
  </si>
  <si>
    <t>Scored questions</t>
  </si>
  <si>
    <t>Scored categories</t>
  </si>
  <si>
    <t>Categories in overall score</t>
  </si>
  <si>
    <t>How to Review</t>
  </si>
  <si>
    <t>1</t>
  </si>
  <si>
    <t>Questions &amp; Answers</t>
  </si>
  <si>
    <t>Review every question, answer label, internal value, and score. Enter revised wording, rationale, evidence, safety concerns, and action in yellow columns.</t>
  </si>
  <si>
    <t>2</t>
  </si>
  <si>
    <t>Results Logic</t>
  </si>
  <si>
    <t>Review score bands, category summaries, overall-score exclusions, and recommendation triggers.</t>
  </si>
  <si>
    <t>3</t>
  </si>
  <si>
    <t>Flow Map</t>
  </si>
  <si>
    <t>Confirm the seven-step order and completion rules. The current assessment contains no answer-dependent branching.</t>
  </si>
  <si>
    <t>4</t>
  </si>
  <si>
    <t>Scenario Tester</t>
  </si>
  <si>
    <t>Choose answers from dropdowns to reproduce scores and advice generated by the current rules.</t>
  </si>
  <si>
    <t>5</t>
  </si>
  <si>
    <t>Proposed Changes</t>
  </si>
  <si>
    <t>Add new questions, answers, conditional flows, or advice in a structured implementation-ready format.</t>
  </si>
  <si>
    <t>6</t>
  </si>
  <si>
    <t>Sign-off</t>
  </si>
  <si>
    <t>Use status fields to distinguish comments, requested changes, and approved clinical content.</t>
  </si>
  <si>
    <t>Color Key</t>
  </si>
  <si>
    <t>Source content</t>
  </si>
  <si>
    <t>Dietitian input</t>
  </si>
  <si>
    <t>Safety concern</t>
  </si>
  <si>
    <t>Approved / acceptable</t>
  </si>
  <si>
    <t>Neutral cells reflect current website logic.</t>
  </si>
  <si>
    <t>Pale-yellow cells are editable review fields.</t>
  </si>
  <si>
    <t>Red-tinted cells flag safety-sensitive review.</t>
  </si>
  <si>
    <t>Green indicates approved or acceptable status.</t>
  </si>
  <si>
    <t>One row per answer option. Source fields reflect the current website; yellow columns are for dietitian review.</t>
  </si>
  <si>
    <t>Lookup Key</t>
  </si>
  <si>
    <t>Step #</t>
  </si>
  <si>
    <t>Step ID</t>
  </si>
  <si>
    <t>Step Title</t>
  </si>
  <si>
    <t>Question ID</t>
  </si>
  <si>
    <t>Question</t>
  </si>
  <si>
    <t>Category</t>
  </si>
  <si>
    <t>Requirement</t>
  </si>
  <si>
    <t>Answer Option</t>
  </si>
  <si>
    <t>Internal Value</t>
  </si>
  <si>
    <t>Score /100</t>
  </si>
  <si>
    <t>Revised Question / Answer Wording</t>
  </si>
  <si>
    <t>Clinical Rationale</t>
  </si>
  <si>
    <t>Evidence / Source</t>
  </si>
  <si>
    <t>Safety Concern</t>
  </si>
  <si>
    <t>Recommended Action</t>
  </si>
  <si>
    <t>Review Status</t>
  </si>
  <si>
    <t>Implementation Notes</t>
  </si>
  <si>
    <t>ageRange|18-24</t>
  </si>
  <si>
    <t>basics</t>
  </si>
  <si>
    <t>Basic information</t>
  </si>
  <si>
    <t>ageRange</t>
  </si>
  <si>
    <t>What is your age range?</t>
  </si>
  <si>
    <t>Unscored profile</t>
  </si>
  <si>
    <t>Required</t>
  </si>
  <si>
    <t>18-24</t>
  </si>
  <si>
    <t>Keep</t>
  </si>
  <si>
    <t>Not reviewed</t>
  </si>
  <si>
    <t>ageRange|25-34</t>
  </si>
  <si>
    <t>25-34</t>
  </si>
  <si>
    <t>ageRange|35-44</t>
  </si>
  <si>
    <t>35-44</t>
  </si>
  <si>
    <t>ageRange|45-54</t>
  </si>
  <si>
    <t>45-54</t>
  </si>
  <si>
    <t>ageRange|55-64</t>
  </si>
  <si>
    <t>55-64</t>
  </si>
  <si>
    <t>ageRange|65+</t>
  </si>
  <si>
    <t>65+</t>
  </si>
  <si>
    <t>65-plus</t>
  </si>
  <si>
    <t>gender|Female</t>
  </si>
  <si>
    <t>gender</t>
  </si>
  <si>
    <t>Gender</t>
  </si>
  <si>
    <t>Optional</t>
  </si>
  <si>
    <t>Female</t>
  </si>
  <si>
    <t>female</t>
  </si>
  <si>
    <t>gender|Male</t>
  </si>
  <si>
    <t>Male</t>
  </si>
  <si>
    <t>male</t>
  </si>
  <si>
    <t>gender|Non-binary</t>
  </si>
  <si>
    <t>Non-binary</t>
  </si>
  <si>
    <t>non-binary</t>
  </si>
  <si>
    <t>gender|Prefer not to say</t>
  </si>
  <si>
    <t>Prefer not to say</t>
  </si>
  <si>
    <t>prefer-not</t>
  </si>
  <si>
    <t>mainGoal|Improve health</t>
  </si>
  <si>
    <t>mainGoal</t>
  </si>
  <si>
    <t>What is your main nutrition goal?</t>
  </si>
  <si>
    <t>Improve health</t>
  </si>
  <si>
    <t>improve-health</t>
  </si>
  <si>
    <t>mainGoal|Weight management</t>
  </si>
  <si>
    <t>Weight management</t>
  </si>
  <si>
    <t>weight-management</t>
  </si>
  <si>
    <t>mainGoal|Sports performance</t>
  </si>
  <si>
    <t>Sports performance</t>
  </si>
  <si>
    <t>sports-performance</t>
  </si>
  <si>
    <t>mainGoal|Improve energy levels</t>
  </si>
  <si>
    <t>Improve energy levels</t>
  </si>
  <si>
    <t>energy</t>
  </si>
  <si>
    <t>mainGoal|General wellbeing</t>
  </si>
  <si>
    <t>General wellbeing</t>
  </si>
  <si>
    <t>wellbeing</t>
  </si>
  <si>
    <t>fruitPortions|None</t>
  </si>
  <si>
    <t>fruit-vegetables</t>
  </si>
  <si>
    <t>Fruit and vegetable intake</t>
  </si>
  <si>
    <t>fruitPortions</t>
  </si>
  <si>
    <t>How many portions of fruit do you eat on a typical day?</t>
  </si>
  <si>
    <t>fruitVegetables</t>
  </si>
  <si>
    <t>None</t>
  </si>
  <si>
    <t>none</t>
  </si>
  <si>
    <t>fruitPortions|1 portion</t>
  </si>
  <si>
    <t>1 portion</t>
  </si>
  <si>
    <t>one</t>
  </si>
  <si>
    <t>fruitPortions|2 portions</t>
  </si>
  <si>
    <t>2 portions</t>
  </si>
  <si>
    <t>two</t>
  </si>
  <si>
    <t>fruitPortions|3 or more portions</t>
  </si>
  <si>
    <t>3 or more portions</t>
  </si>
  <si>
    <t>three-plus</t>
  </si>
  <si>
    <t>vegetablePortions|None</t>
  </si>
  <si>
    <t>vegetablePortions</t>
  </si>
  <si>
    <t>How many portions of vegetables or salad do you eat on a typical day?</t>
  </si>
  <si>
    <t>vegetablePortions|1 portion</t>
  </si>
  <si>
    <t>vegetablePortions|2 portions</t>
  </si>
  <si>
    <t>vegetablePortions|3 or more portions</t>
  </si>
  <si>
    <t>wholegrains|Rarely or never</t>
  </si>
  <si>
    <t>fibre-wholegrains</t>
  </si>
  <si>
    <t>Fibre and wholegrains</t>
  </si>
  <si>
    <t>wholegrains</t>
  </si>
  <si>
    <t>How often do you eat wholegrain bread, oats, brown rice, or wholegrain pasta?</t>
  </si>
  <si>
    <t>fibre</t>
  </si>
  <si>
    <t>Rarely or never</t>
  </si>
  <si>
    <t>rarely</t>
  </si>
  <si>
    <t>wholegrains|1-2 times per week</t>
  </si>
  <si>
    <t>1-2 times per week</t>
  </si>
  <si>
    <t>weekly</t>
  </si>
  <si>
    <t>wholegrains|Most days</t>
  </si>
  <si>
    <t>Most days</t>
  </si>
  <si>
    <t>most-days</t>
  </si>
  <si>
    <t>wholegrains|Daily</t>
  </si>
  <si>
    <t>Daily</t>
  </si>
  <si>
    <t>daily</t>
  </si>
  <si>
    <t>legumes|Rarely or never</t>
  </si>
  <si>
    <t>legumes</t>
  </si>
  <si>
    <t>How often do you eat beans, lentils, chickpeas, or other legumes?</t>
  </si>
  <si>
    <t>legumes|1-2 times per month</t>
  </si>
  <si>
    <t>1-2 times per month</t>
  </si>
  <si>
    <t>monthly</t>
  </si>
  <si>
    <t>legumes|1-2 times per week</t>
  </si>
  <si>
    <t>legumes|3 or more times per week</t>
  </si>
  <si>
    <t>3 or more times per week</t>
  </si>
  <si>
    <t>often</t>
  </si>
  <si>
    <t>proteinFrequency|Less than once daily</t>
  </si>
  <si>
    <t>protein</t>
  </si>
  <si>
    <t>Protein habits</t>
  </si>
  <si>
    <t>proteinFrequency</t>
  </si>
  <si>
    <t>How often do you consume protein-rich foods such as fish, eggs, dairy, tofu, beans, pulses, poultry, or lean meat?</t>
  </si>
  <si>
    <t>Less than once daily</t>
  </si>
  <si>
    <t>low</t>
  </si>
  <si>
    <t>proteinFrequency|Once daily</t>
  </si>
  <si>
    <t>Once daily</t>
  </si>
  <si>
    <t>once</t>
  </si>
  <si>
    <t>proteinFrequency|Twice daily</t>
  </si>
  <si>
    <t>Twice daily</t>
  </si>
  <si>
    <t>twice</t>
  </si>
  <si>
    <t>proteinFrequency|With most meals</t>
  </si>
  <si>
    <t>With most meals</t>
  </si>
  <si>
    <t>most-meals</t>
  </si>
  <si>
    <t>proteinMeals|Rarely</t>
  </si>
  <si>
    <t>proteinMeals</t>
  </si>
  <si>
    <t>Do most of your meals contain a source of protein?</t>
  </si>
  <si>
    <t>Rarely</t>
  </si>
  <si>
    <t>proteinMeals|Sometimes</t>
  </si>
  <si>
    <t>Sometimes</t>
  </si>
  <si>
    <t>sometimes</t>
  </si>
  <si>
    <t>proteinMeals|Often</t>
  </si>
  <si>
    <t>Often</t>
  </si>
  <si>
    <t>proteinMeals|Almost always</t>
  </si>
  <si>
    <t>Almost always</t>
  </si>
  <si>
    <t>always</t>
  </si>
  <si>
    <t>fluidIntake|Less than 1 litre</t>
  </si>
  <si>
    <t>hydration</t>
  </si>
  <si>
    <t>Hydration</t>
  </si>
  <si>
    <t>fluidIntake</t>
  </si>
  <si>
    <t>How much fluid do you drink daily?</t>
  </si>
  <si>
    <t>Less than 1 litre</t>
  </si>
  <si>
    <t>under-one</t>
  </si>
  <si>
    <t>fluidIntake|1-1.5 litres</t>
  </si>
  <si>
    <t>1-1.5 litres</t>
  </si>
  <si>
    <t>one-to-one-half</t>
  </si>
  <si>
    <t>fluidIntake|1.5-2 litres</t>
  </si>
  <si>
    <t>1.5-2 litres</t>
  </si>
  <si>
    <t>one-half-to-two</t>
  </si>
  <si>
    <t>fluidIntake|More than 2 litres</t>
  </si>
  <si>
    <t>More than 2 litres</t>
  </si>
  <si>
    <t>over-two</t>
  </si>
  <si>
    <t>sugaryDrinks|Daily</t>
  </si>
  <si>
    <t>sugaryDrinks</t>
  </si>
  <si>
    <t>How often do you consume sugary drinks?</t>
  </si>
  <si>
    <t>sugaryDrinks|Several times per week</t>
  </si>
  <si>
    <t>Several times per week</t>
  </si>
  <si>
    <t>sugaryDrinks|Occasionally</t>
  </si>
  <si>
    <t>Occasionally</t>
  </si>
  <si>
    <t>occasionally</t>
  </si>
  <si>
    <t>sugaryDrinks|Rarely or never</t>
  </si>
  <si>
    <t>breakfast|Rarely</t>
  </si>
  <si>
    <t>meal-patterns</t>
  </si>
  <si>
    <t>Meal patterns</t>
  </si>
  <si>
    <t>breakfast</t>
  </si>
  <si>
    <t>Do you eat breakfast regularly?</t>
  </si>
  <si>
    <t>mealPatterns</t>
  </si>
  <si>
    <t>breakfast|A few days per week</t>
  </si>
  <si>
    <t>A few days per week</t>
  </si>
  <si>
    <t>few-days</t>
  </si>
  <si>
    <t>breakfast|Most days</t>
  </si>
  <si>
    <t>breakfast|Daily</t>
  </si>
  <si>
    <t>skippingMeals|Most days</t>
  </si>
  <si>
    <t>skippingMeals</t>
  </si>
  <si>
    <t>How often do you skip meals?</t>
  </si>
  <si>
    <t>skippingMeals|A few times per week</t>
  </si>
  <si>
    <t>A few times per week</t>
  </si>
  <si>
    <t>few-times</t>
  </si>
  <si>
    <t>skippingMeals|Occasionally</t>
  </si>
  <si>
    <t>skippingMeals|Rarely or never</t>
  </si>
  <si>
    <t>regularTimes|Rarely</t>
  </si>
  <si>
    <t>regularTimes</t>
  </si>
  <si>
    <t>Do you tend to eat at regular times?</t>
  </si>
  <si>
    <t>regularTimes|Sometimes</t>
  </si>
  <si>
    <t>regularTimes|Often</t>
  </si>
  <si>
    <t>regularTimes|Almost always</t>
  </si>
  <si>
    <t>activityDays|0 days</t>
  </si>
  <si>
    <t>lifestyle</t>
  </si>
  <si>
    <t>Lifestyle</t>
  </si>
  <si>
    <t>activityDays</t>
  </si>
  <si>
    <t>How many days per week are you physically active?</t>
  </si>
  <si>
    <t>0 days</t>
  </si>
  <si>
    <t>zero</t>
  </si>
  <si>
    <t>activityDays|1-2 days</t>
  </si>
  <si>
    <t>1-2 days</t>
  </si>
  <si>
    <t>one-two</t>
  </si>
  <si>
    <t>activityDays|3-4 days</t>
  </si>
  <si>
    <t>3-4 days</t>
  </si>
  <si>
    <t>three-four</t>
  </si>
  <si>
    <t>activityDays|5 or more days</t>
  </si>
  <si>
    <t>5 or more days</t>
  </si>
  <si>
    <t>five-plus</t>
  </si>
  <si>
    <t>sleepQuality|Poor</t>
  </si>
  <si>
    <t>sleepQuality</t>
  </si>
  <si>
    <t>How would you rate your sleep quality?</t>
  </si>
  <si>
    <t>Poor</t>
  </si>
  <si>
    <t>poor</t>
  </si>
  <si>
    <t>sleepQuality|Fair</t>
  </si>
  <si>
    <t>Fair</t>
  </si>
  <si>
    <t>fair</t>
  </si>
  <si>
    <t>sleepQuality|Good</t>
  </si>
  <si>
    <t>Good</t>
  </si>
  <si>
    <t>good</t>
  </si>
  <si>
    <t>sleepQuality|Very good</t>
  </si>
  <si>
    <t>Very good</t>
  </si>
  <si>
    <t>very-good</t>
  </si>
  <si>
    <t>Current rating bands, category summaries, overall calculation, and recommendation rules.</t>
  </si>
  <si>
    <t>Rating Bands</t>
  </si>
  <si>
    <t>Minimum Score</t>
  </si>
  <si>
    <t>Maximum Score</t>
  </si>
  <si>
    <t>Rating</t>
  </si>
  <si>
    <t>Applied To</t>
  </si>
  <si>
    <t>Strong</t>
  </si>
  <si>
    <t>Overall and category scores</t>
  </si>
  <si>
    <t>Developing well</t>
  </si>
  <si>
    <t>Could improve</t>
  </si>
  <si>
    <t>Needs attention</t>
  </si>
  <si>
    <t>Category Calculation and Summary Rules</t>
  </si>
  <si>
    <t>Category ID</t>
  </si>
  <si>
    <t>Display Label</t>
  </si>
  <si>
    <t>Included in Overall?</t>
  </si>
  <si>
    <t>Displayed on Results?</t>
  </si>
  <si>
    <t>Summary Threshold</t>
  </si>
  <si>
    <t>Summary if &gt;=70</t>
  </si>
  <si>
    <t>Summary if &lt;70</t>
  </si>
  <si>
    <t>Dietitian Review</t>
  </si>
  <si>
    <t>Status</t>
  </si>
  <si>
    <t>Fibre Habits</t>
  </si>
  <si>
    <t>wholegrains, legumes</t>
  </si>
  <si>
    <t>Yes</t>
  </si>
  <si>
    <t>Your fibre habits appear positive. Continuing to include wholegrains, legumes, fruit, and vegetables can support a balanced diet.</t>
  </si>
  <si>
    <t>Your fibre intake appears lower than ideal. Increasing wholegrains, legumes, fruit, and vegetables may help support digestive health.</t>
  </si>
  <si>
    <t>Protein Habits</t>
  </si>
  <si>
    <t>proteinFrequency, proteinMeals</t>
  </si>
  <si>
    <t>Your protein habits appear strong and are likely supporting satiety and muscle maintenance.</t>
  </si>
  <si>
    <t>Your protein intake could be more consistent. Adding a protein source to more meals may help meals feel more balanced.</t>
  </si>
  <si>
    <t>Fruit &amp; Vegetable Intake</t>
  </si>
  <si>
    <t>fruitPortions, vegetablePortions</t>
  </si>
  <si>
    <t>Your fruit and vegetable intake appears supportive of good overall diet quality.</t>
  </si>
  <si>
    <t>Your fruit and vegetable intake could be increased. Small additions across the day can make this easier to sustain.</t>
  </si>
  <si>
    <t>Hydration Habits</t>
  </si>
  <si>
    <t>fluidIntake, sugaryDrinks</t>
  </si>
  <si>
    <t>Your hydration habits appear supportive. Keeping water available during the day can help maintain this routine.</t>
  </si>
  <si>
    <t>Your hydration habits could be improved by increasing daily fluid intake and choosing unsweetened drinks more often.</t>
  </si>
  <si>
    <t>Lifestyle Habits</t>
  </si>
  <si>
    <t>activityDays, sleepQuality</t>
  </si>
  <si>
    <t>Your activity and sleep habits appear to be supporting your general wellbeing.</t>
  </si>
  <si>
    <t>Your lifestyle habits may benefit from more regular movement and attention to sleep quality.</t>
  </si>
  <si>
    <t>Meal Regularity</t>
  </si>
  <si>
    <t>breakfast, skippingMeals, regularTimes</t>
  </si>
  <si>
    <t>No</t>
  </si>
  <si>
    <t>Your meal routine appears steady, which can make balanced nutrition easier to maintain.</t>
  </si>
  <si>
    <t>Your meal routine could be more regular. Planning simple meals or snacks may help reduce skipped meals.</t>
  </si>
  <si>
    <t>Overall Score and Summary</t>
  </si>
  <si>
    <t>Rule</t>
  </si>
  <si>
    <t>Current implementation</t>
  </si>
  <si>
    <t>Clinical review note</t>
  </si>
  <si>
    <t>Overall score</t>
  </si>
  <si>
    <t>Rounded mean of fibre, protein, fruitVegetables, hydration, and lifestyle category scores.</t>
  </si>
  <si>
    <t>Excluded category</t>
  </si>
  <si>
    <t>mealPatterns is calculated and can trigger advice, but is not shown as a result card and is excluded from the overall score.</t>
  </si>
  <si>
    <t>Overall summary</t>
  </si>
  <si>
    <t>Score &gt;=70: supportive nutrition pattern. Score &lt;70: several realistic opportunities to strengthen everyday nutrition habits.</t>
  </si>
  <si>
    <t>Recommendation Rules</t>
  </si>
  <si>
    <t>Order</t>
  </si>
  <si>
    <t>Trigger</t>
  </si>
  <si>
    <t>Advice Displayed</t>
  </si>
  <si>
    <t>Maximum Displayed</t>
  </si>
  <si>
    <t>Fallback Rule</t>
  </si>
  <si>
    <t>Clinical Rationale / Evidence</t>
  </si>
  <si>
    <t>Recommended Revision</t>
  </si>
  <si>
    <t>Category score &lt;75</t>
  </si>
  <si>
    <t>Add an extra serving of vegetables to lunch or dinner.</t>
  </si>
  <si>
    <t>First 5 recommendations</t>
  </si>
  <si>
    <t>If fewer than 3 category rules trigger, append generic balanced-meal advice.</t>
  </si>
  <si>
    <t>Choose wholegrain options more often, such as oats, wholegrain bread, brown rice, or wholegrain pasta.</t>
  </si>
  <si>
    <t>Include a protein source with breakfast or your least balanced meal of the day.</t>
  </si>
  <si>
    <t>Carry a reusable water bottle to make regular fluid intake easier.</t>
  </si>
  <si>
    <t>Plan short, realistic activity sessions during the week and keep a consistent wind-down routine when possible.</t>
  </si>
  <si>
    <t>Keep one simple backup meal or snack available for busier days.</t>
  </si>
  <si>
    <t>Generic fallback</t>
  </si>
  <si>
    <t>Fewer than 3 category recommendations</t>
  </si>
  <si>
    <t>Keep building meals around vegetables, protein-rich foods, wholegrains, and regular fluids.</t>
  </si>
  <si>
    <t>Still limited to first 5</t>
  </si>
  <si>
    <t>Appended after category rules</t>
  </si>
  <si>
    <t>Assessment Flow Map</t>
  </si>
  <si>
    <t>The current journey is linear. No question or answer changes the next step, skips a step, or branches to different advice.</t>
  </si>
  <si>
    <t>Current Linear Flow</t>
  </si>
  <si>
    <t>Sequence</t>
  </si>
  <si>
    <t>Screen / Step ID</t>
  </si>
  <si>
    <t>Title</t>
  </si>
  <si>
    <t>Required to Continue</t>
  </si>
  <si>
    <t>Optional Questions</t>
  </si>
  <si>
    <t>Next Destination</t>
  </si>
  <si>
    <t>Answer-dependent Branch?</t>
  </si>
  <si>
    <t>Review Notes</t>
  </si>
  <si>
    <t>contact</t>
  </si>
  <si>
    <t>Contact details</t>
  </si>
  <si>
    <t>First name, last name, email; newsletter opt-in optional</t>
  </si>
  <si>
    <t>Valid name and email</t>
  </si>
  <si>
    <t>Newsletter opt-in</t>
  </si>
  <si>
    <t>ageRange, gender, mainGoal</t>
  </si>
  <si>
    <t>ageRange, mainGoal</t>
  </si>
  <si>
    <t>Results</t>
  </si>
  <si>
    <t>results</t>
  </si>
  <si>
    <t>Overall score, five category cards, recommendations, consultation CTA</t>
  </si>
  <si>
    <t>All required assessment questions answered</t>
  </si>
  <si>
    <t>Gender may remain unanswered</t>
  </si>
  <si>
    <t>Back to answers or restart</t>
  </si>
  <si>
    <t>Advice depends on scores; navigation does not branch</t>
  </si>
  <si>
    <t>Select answers in yellow cells. Scores, ratings, summaries, and recommendation triggers reproduce the current website logic.</t>
  </si>
  <si>
    <t>Step</t>
  </si>
  <si>
    <t>Selected Answer</t>
  </si>
  <si>
    <t>Score</t>
  </si>
  <si>
    <t>Verified Reference Cases</t>
  </si>
  <si>
    <t>Case</t>
  </si>
  <si>
    <t>Answer Pattern</t>
  </si>
  <si>
    <t>Overall</t>
  </si>
  <si>
    <t>Recommendation Count</t>
  </si>
  <si>
    <t>Low</t>
  </si>
  <si>
    <t>First option for every question</t>
  </si>
  <si>
    <t>Medium</t>
  </si>
  <si>
    <t>Second option for every question</t>
  </si>
  <si>
    <t>High</t>
  </si>
  <si>
    <t>Last option for every question</t>
  </si>
  <si>
    <t>Verification note: the reference cases were calculated directly from the current JavaScript assessment functions during workbook generation. Use the editable tester at left for clinical spot checks and edge cases.</t>
  </si>
  <si>
    <t>Calculated Results</t>
  </si>
  <si>
    <t>Displayed?</t>
  </si>
  <si>
    <t>Summary</t>
  </si>
  <si>
    <t>Overall rating</t>
  </si>
  <si>
    <t>Recommendation Trigger Check</t>
  </si>
  <si>
    <t>Triggered?</t>
  </si>
  <si>
    <t>Advice</t>
  </si>
  <si>
    <t>Add implementation-ready clinical content changes below. Each row can represent a question, answer option, flow rule, result rule, or advice change.</t>
  </si>
  <si>
    <t>Change ID</t>
  </si>
  <si>
    <t>Action</t>
  </si>
  <si>
    <t>Content Type</t>
  </si>
  <si>
    <t>Target Step / Section</t>
  </si>
  <si>
    <t>Existing ID</t>
  </si>
  <si>
    <t>Proposed New ID</t>
  </si>
  <si>
    <t>Current Wording / Rule</t>
  </si>
  <si>
    <t>Proposed Wording / Rule</t>
  </si>
  <si>
    <t>Answer Options / Values</t>
  </si>
  <si>
    <t>Score(s)</t>
  </si>
  <si>
    <t>Condition / Branch Logic</t>
  </si>
  <si>
    <t>Advice / Result</t>
  </si>
  <si>
    <t>Priority</t>
  </si>
  <si>
    <t>Approval Status</t>
  </si>
  <si>
    <t>CHG-001</t>
  </si>
  <si>
    <t>Draft</t>
  </si>
  <si>
    <t>CHG-002</t>
  </si>
  <si>
    <t>CHG-003</t>
  </si>
  <si>
    <t>CHG-004</t>
  </si>
  <si>
    <t>CHG-005</t>
  </si>
  <si>
    <t>CHG-006</t>
  </si>
  <si>
    <t>CHG-007</t>
  </si>
  <si>
    <t>CHG-008</t>
  </si>
  <si>
    <t>CHG-009</t>
  </si>
  <si>
    <t>CHG-010</t>
  </si>
  <si>
    <t>CHG-011</t>
  </si>
  <si>
    <t>CHG-012</t>
  </si>
  <si>
    <t>CHG-013</t>
  </si>
  <si>
    <t>CHG-014</t>
  </si>
  <si>
    <t>CHG-015</t>
  </si>
  <si>
    <t>CHG-016</t>
  </si>
  <si>
    <t>CHG-017</t>
  </si>
  <si>
    <t>CHG-018</t>
  </si>
  <si>
    <t>CHG-019</t>
  </si>
  <si>
    <t>CHG-020</t>
  </si>
  <si>
    <t>CHG-021</t>
  </si>
  <si>
    <t>CHG-022</t>
  </si>
  <si>
    <t>CHG-023</t>
  </si>
  <si>
    <t>CHG-024</t>
  </si>
  <si>
    <t>CHG-025</t>
  </si>
  <si>
    <t>CHG-026</t>
  </si>
  <si>
    <t>CHG-027</t>
  </si>
  <si>
    <t>CHG-028</t>
  </si>
  <si>
    <t>CHG-029</t>
  </si>
  <si>
    <t>CHG-030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</si>
</sst>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8"/>
      <color rgb="FFFFFFFF"/>
      <name val="Aptos"/>
    </font>
    <font>
      <i/>
      <sz val="10"/>
      <color rgb="FF24332F"/>
      <name val="Aptos"/>
    </font>
    <font>
      <b/>
      <sz val="12"/>
      <color rgb="FF315B52"/>
      <name val="Aptos"/>
    </font>
    <font>
      <sz val="11"/>
      <color rgb="FF24332F"/>
      <name val="Aptos"/>
    </font>
    <font>
      <sz val="11"/>
      <name val="Aptos"/>
    </font>
    <font>
      <b/>
      <sz val="10"/>
      <color rgb="FF315B52"/>
      <name val="Aptos"/>
    </font>
    <font>
      <sz val="10"/>
      <color rgb="FF24332F"/>
      <name val="Aptos"/>
    </font>
    <font>
      <b/>
      <sz val="10"/>
      <color rgb="FF7A3028"/>
      <name val="Aptos"/>
    </font>
    <font>
      <b/>
      <sz val="10"/>
      <color rgb="FFFFFFFF"/>
      <name val="Aptos"/>
    </font>
    <font>
      <b/>
      <sz val="11"/>
      <color rgb="FF315B52"/>
      <name val="Aptos"/>
    </font>
  </fonts>
  <fills count="11">
    <fill>
      <patternFill patternType="none"/>
    </fill>
    <fill>
      <patternFill patternType="gray125"/>
    </fill>
    <fill>
      <patternFill patternType="solid">
        <fgColor rgb="FF315B52"/>
      </patternFill>
    </fill>
    <fill>
      <patternFill patternType="solid">
        <fgColor rgb="FFE8F3EF"/>
      </patternFill>
    </fill>
    <fill>
      <patternFill patternType="solid">
        <fgColor rgb="FFA3C9B9"/>
      </patternFill>
    </fill>
    <fill>
      <patternFill patternType="solid">
        <fgColor rgb="FFFFFFFF"/>
      </patternFill>
    </fill>
    <fill>
      <patternFill patternType="solid">
        <fgColor rgb="FFFCE8E6"/>
      </patternFill>
    </fill>
    <fill>
      <patternFill patternType="solid">
        <fgColor rgb="FF7FAE9E"/>
      </patternFill>
    </fill>
    <fill>
      <patternFill patternType="solid">
        <fgColor rgb="FFF5F7F6"/>
      </patternFill>
    </fill>
    <fill>
      <patternFill patternType="solid">
        <fgColor rgb="FFFFF2CC"/>
      </patternFill>
    </fill>
    <fill>
      <patternFill patternType="solid">
        <fgColor rgb="FFE2F0D9"/>
      </patternFill>
    </fill>
  </fills>
  <borders count="18">
    <border>
      <left/>
      <right/>
      <top/>
      <bottom/>
      <diagonal/>
    </border>
    <border>
      <left style="thin">
        <color rgb="FFCDD9D5"/>
      </left>
      <right/>
      <top style="thin">
        <color rgb="FFCDD9D5"/>
      </top>
      <bottom/>
      <diagonal/>
    </border>
    <border>
      <left/>
      <right/>
      <top style="thin">
        <color rgb="FFCDD9D5"/>
      </top>
      <bottom/>
      <diagonal/>
    </border>
    <border>
      <left/>
      <right style="thin">
        <color rgb="FFCDD9D5"/>
      </right>
      <top style="thin">
        <color rgb="FFCDD9D5"/>
      </top>
      <bottom/>
      <diagonal/>
    </border>
    <border>
      <left style="thin">
        <color rgb="FFCDD9D5"/>
      </left>
      <right/>
      <top/>
      <bottom/>
      <diagonal/>
    </border>
    <border>
      <left/>
      <right style="thin">
        <color rgb="FFCDD9D5"/>
      </right>
      <top/>
      <bottom/>
      <diagonal/>
    </border>
    <border>
      <left style="thin">
        <color rgb="FFCDD9D5"/>
      </left>
      <right/>
      <top/>
      <bottom style="thin">
        <color rgb="FFCDD9D5"/>
      </bottom>
      <diagonal/>
    </border>
    <border>
      <left/>
      <right/>
      <top/>
      <bottom style="thin">
        <color rgb="FFCDD9D5"/>
      </bottom>
      <diagonal/>
    </border>
    <border>
      <left/>
      <right style="thin">
        <color rgb="FFCDD9D5"/>
      </right>
      <top/>
      <bottom style="thin">
        <color rgb="FFCDD9D5"/>
      </bottom>
      <diagonal/>
    </border>
    <border>
      <left style="thin">
        <color rgb="FFCDD9D5"/>
      </left>
      <right style="thin">
        <color rgb="FFCDD9D5"/>
      </right>
      <top style="thin">
        <color rgb="FFCDD9D5"/>
      </top>
      <bottom style="thin">
        <color rgb="FFCDD9D5"/>
      </bottom>
      <diagonal/>
    </border>
    <border>
      <left style="thin">
        <color rgb="FFD9A9A2"/>
      </left>
      <right/>
      <top style="thin">
        <color rgb="FFD9A9A2"/>
      </top>
      <bottom/>
      <diagonal/>
    </border>
    <border>
      <left/>
      <right/>
      <top style="thin">
        <color rgb="FFD9A9A2"/>
      </top>
      <bottom/>
      <diagonal/>
    </border>
    <border>
      <left/>
      <right style="thin">
        <color rgb="FFD9A9A2"/>
      </right>
      <top style="thin">
        <color rgb="FFD9A9A2"/>
      </top>
      <bottom/>
      <diagonal/>
    </border>
    <border>
      <left style="thin">
        <color rgb="FFD9A9A2"/>
      </left>
      <right/>
      <top/>
      <bottom/>
      <diagonal/>
    </border>
    <border>
      <left/>
      <right style="thin">
        <color rgb="FFD9A9A2"/>
      </right>
      <top/>
      <bottom/>
      <diagonal/>
    </border>
    <border>
      <left style="thin">
        <color rgb="FFD9A9A2"/>
      </left>
      <right/>
      <top/>
      <bottom style="thin">
        <color rgb="FFD9A9A2"/>
      </bottom>
      <diagonal/>
    </border>
    <border>
      <left/>
      <right/>
      <top/>
      <bottom style="thin">
        <color rgb="FFD9A9A2"/>
      </bottom>
      <diagonal/>
    </border>
    <border>
      <left/>
      <right style="thin">
        <color rgb="FFD9A9A2"/>
      </right>
      <top/>
      <bottom style="thin">
        <color rgb="FFD9A9A2"/>
      </bottom>
      <diagonal/>
    </border>
  </borders>
  <cellStyleXfs count="1">
    <xf numFmtId="0" fontId="0" fillId="0" borderId="0"/>
  </cellStyleXfs>
  <cellXfs count="49">
    <xf numFmtId="0" fontId="0" fillId="0" borderId="0" xfId="0"/>
    <xf numFmtId="0" fontId="5" fillId="0" borderId="0" xfId="0" applyFont="1"/>
    <xf numFmtId="0" fontId="6" fillId="0" borderId="9" xfId="0" applyFont="1" applyBorder="1" applyAlignment="1">
      <alignment vertical="top" wrapText="1"/>
    </xf>
    <xf numFmtId="0" fontId="7" fillId="0" borderId="9" xfId="0" applyFont="1" applyBorder="1" applyAlignment="1">
      <alignment horizontal="center" vertical="top" wrapText="1"/>
    </xf>
    <xf numFmtId="0" fontId="9" fillId="7" borderId="9" xfId="0" applyFont="1" applyFill="1" applyBorder="1" applyAlignment="1">
      <alignment horizontal="center" vertical="center" wrapText="1"/>
    </xf>
    <xf numFmtId="0" fontId="7" fillId="0" borderId="9" xfId="0" applyFont="1" applyBorder="1" applyAlignment="1">
      <alignment vertical="top" wrapText="1"/>
    </xf>
    <xf numFmtId="0" fontId="6" fillId="8" borderId="9" xfId="0" applyFont="1" applyFill="1" applyBorder="1" applyAlignment="1">
      <alignment vertical="top" wrapText="1"/>
    </xf>
    <xf numFmtId="0" fontId="6" fillId="9" borderId="9" xfId="0" applyFont="1" applyFill="1" applyBorder="1" applyAlignment="1">
      <alignment vertical="top" wrapText="1"/>
    </xf>
    <xf numFmtId="0" fontId="6" fillId="6" borderId="9" xfId="0" applyFont="1" applyFill="1" applyBorder="1" applyAlignment="1">
      <alignment vertical="top" wrapText="1"/>
    </xf>
    <xf numFmtId="0" fontId="6" fillId="10" borderId="9" xfId="0" applyFont="1" applyFill="1" applyBorder="1" applyAlignment="1">
      <alignment vertical="top" wrapText="1"/>
    </xf>
    <xf numFmtId="0" fontId="7" fillId="8" borderId="9" xfId="0" applyFont="1" applyFill="1" applyBorder="1" applyAlignment="1">
      <alignment vertical="top" wrapText="1"/>
    </xf>
    <xf numFmtId="0" fontId="7" fillId="9" borderId="9" xfId="0" applyFont="1" applyFill="1" applyBorder="1" applyAlignment="1">
      <alignment vertical="top" wrapText="1"/>
    </xf>
    <xf numFmtId="0" fontId="7" fillId="6" borderId="9" xfId="0" applyFont="1" applyFill="1" applyBorder="1" applyAlignment="1">
      <alignment vertical="top" wrapText="1"/>
    </xf>
    <xf numFmtId="0" fontId="7" fillId="10" borderId="9" xfId="0" applyFont="1" applyFill="1" applyBorder="1" applyAlignment="1">
      <alignment vertical="top" wrapText="1"/>
    </xf>
    <xf numFmtId="1" fontId="7" fillId="0" borderId="9" xfId="0" applyNumberFormat="1" applyFont="1" applyBorder="1" applyAlignment="1">
      <alignment horizontal="center" vertical="top" wrapText="1"/>
    </xf>
    <xf numFmtId="1" fontId="7" fillId="0" borderId="9" xfId="0" applyNumberFormat="1" applyFont="1" applyBorder="1" applyAlignment="1">
      <alignment vertical="top" wrapText="1"/>
    </xf>
    <xf numFmtId="0" fontId="10" fillId="4" borderId="9" xfId="0" applyFont="1" applyFill="1" applyBorder="1"/>
    <xf numFmtId="0" fontId="1" fillId="2" borderId="0" xfId="0" applyFont="1" applyFill="1" applyAlignment="1">
      <alignment horizontal="left" vertical="center"/>
    </xf>
    <xf numFmtId="0" fontId="2" fillId="3" borderId="0" xfId="0" applyFont="1" applyFill="1" applyAlignment="1">
      <alignment vertical="center" wrapText="1"/>
    </xf>
    <xf numFmtId="0" fontId="3" fillId="4" borderId="0" xfId="0" applyFont="1" applyFill="1" applyAlignment="1">
      <alignment vertical="center"/>
    </xf>
    <xf numFmtId="0" fontId="4" fillId="5" borderId="1" xfId="0" applyFont="1" applyFill="1" applyBorder="1" applyAlignment="1">
      <alignment vertical="center" wrapText="1"/>
    </xf>
    <xf numFmtId="0" fontId="4" fillId="5" borderId="2" xfId="0" applyFont="1" applyFill="1" applyBorder="1" applyAlignment="1">
      <alignment vertical="center" wrapText="1"/>
    </xf>
    <xf numFmtId="0" fontId="4" fillId="5" borderId="3" xfId="0" applyFont="1" applyFill="1" applyBorder="1" applyAlignment="1">
      <alignment vertical="center" wrapText="1"/>
    </xf>
    <xf numFmtId="0" fontId="4" fillId="5" borderId="4" xfId="0" applyFont="1" applyFill="1" applyBorder="1" applyAlignment="1">
      <alignment vertical="center" wrapText="1"/>
    </xf>
    <xf numFmtId="0" fontId="4" fillId="5" borderId="0" xfId="0" applyFont="1" applyFill="1" applyAlignment="1">
      <alignment vertical="center" wrapText="1"/>
    </xf>
    <xf numFmtId="0" fontId="4" fillId="5" borderId="5" xfId="0" applyFont="1" applyFill="1" applyBorder="1" applyAlignment="1">
      <alignment vertical="center" wrapText="1"/>
    </xf>
    <xf numFmtId="0" fontId="4" fillId="5" borderId="6" xfId="0" applyFont="1" applyFill="1" applyBorder="1" applyAlignment="1">
      <alignment vertical="center" wrapText="1"/>
    </xf>
    <xf numFmtId="0" fontId="4" fillId="5" borderId="7" xfId="0" applyFont="1" applyFill="1" applyBorder="1" applyAlignment="1">
      <alignment vertical="center" wrapText="1"/>
    </xf>
    <xf numFmtId="0" fontId="4" fillId="5" borderId="8" xfId="0" applyFont="1" applyFill="1" applyBorder="1" applyAlignment="1">
      <alignment vertical="center" wrapText="1"/>
    </xf>
    <xf numFmtId="0" fontId="8" fillId="6" borderId="10" xfId="0" applyFont="1" applyFill="1" applyBorder="1" applyAlignment="1">
      <alignment vertical="center" wrapText="1"/>
    </xf>
    <xf numFmtId="0" fontId="8" fillId="6" borderId="11" xfId="0" applyFont="1" applyFill="1" applyBorder="1" applyAlignment="1">
      <alignment vertical="center" wrapText="1"/>
    </xf>
    <xf numFmtId="0" fontId="8" fillId="6" borderId="12" xfId="0" applyFont="1" applyFill="1" applyBorder="1" applyAlignment="1">
      <alignment vertical="center" wrapText="1"/>
    </xf>
    <xf numFmtId="0" fontId="8" fillId="6" borderId="13" xfId="0" applyFont="1" applyFill="1" applyBorder="1" applyAlignment="1">
      <alignment vertical="center" wrapText="1"/>
    </xf>
    <xf numFmtId="0" fontId="8" fillId="6" borderId="0" xfId="0" applyFont="1" applyFill="1" applyAlignment="1">
      <alignment vertical="center" wrapText="1"/>
    </xf>
    <xf numFmtId="0" fontId="8" fillId="6" borderId="14" xfId="0" applyFont="1" applyFill="1" applyBorder="1" applyAlignment="1">
      <alignment vertical="center" wrapText="1"/>
    </xf>
    <xf numFmtId="0" fontId="8" fillId="6" borderId="15" xfId="0" applyFont="1" applyFill="1" applyBorder="1" applyAlignment="1">
      <alignment vertical="center" wrapText="1"/>
    </xf>
    <xf numFmtId="0" fontId="8" fillId="6" borderId="16" xfId="0" applyFont="1" applyFill="1" applyBorder="1" applyAlignment="1">
      <alignment vertical="center" wrapText="1"/>
    </xf>
    <xf numFmtId="0" fontId="8" fillId="6" borderId="17" xfId="0" applyFont="1" applyFill="1" applyBorder="1" applyAlignment="1">
      <alignment vertical="center" wrapText="1"/>
    </xf>
    <xf numFmtId="0" fontId="7" fillId="0" borderId="9" xfId="0" applyFont="1" applyBorder="1" applyAlignment="1">
      <alignment vertical="top" wrapText="1"/>
    </xf>
    <xf numFmtId="0" fontId="9" fillId="7" borderId="9" xfId="0" applyFont="1" applyFill="1" applyBorder="1" applyAlignment="1">
      <alignment horizontal="center" vertical="center" wrapText="1"/>
    </xf>
    <xf numFmtId="0" fontId="7" fillId="9" borderId="9" xfId="0" applyFont="1" applyFill="1" applyBorder="1" applyAlignment="1">
      <alignment vertical="top" wrapText="1"/>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2" fillId="3" borderId="4" xfId="0" applyFont="1" applyFill="1" applyBorder="1" applyAlignment="1">
      <alignment vertical="center" wrapText="1"/>
    </xf>
    <xf numFmtId="0" fontId="2" fillId="3" borderId="5" xfId="0" applyFont="1" applyFill="1" applyBorder="1" applyAlignment="1">
      <alignment vertical="center" wrapText="1"/>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vertical="center" wrapText="1"/>
    </xf>
  </cellXfs>
  <cellStyles count="1">
    <cellStyle name="Normal" xfId="0" builtinId="0"/>
  </cellStyles>
  <dxfs count="1">
    <dxf>
      <font>
        <b/>
        <color rgb="FF315B52"/>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AnswersTable" displayName="QuestionsAnswersTable" ref="A4:R71">
  <tableColumns count="18">
    <tableColumn id="1" xr3:uid="{00000000-0010-0000-0000-000001000000}" name="Lookup Key"/>
    <tableColumn id="2" xr3:uid="{00000000-0010-0000-0000-000002000000}" name="Step #"/>
    <tableColumn id="3" xr3:uid="{00000000-0010-0000-0000-000003000000}" name="Step ID"/>
    <tableColumn id="4" xr3:uid="{00000000-0010-0000-0000-000004000000}" name="Step Title"/>
    <tableColumn id="5" xr3:uid="{00000000-0010-0000-0000-000005000000}" name="Question ID"/>
    <tableColumn id="6" xr3:uid="{00000000-0010-0000-0000-000006000000}" name="Question"/>
    <tableColumn id="7" xr3:uid="{00000000-0010-0000-0000-000007000000}" name="Category"/>
    <tableColumn id="8" xr3:uid="{00000000-0010-0000-0000-000008000000}" name="Requirement"/>
    <tableColumn id="9" xr3:uid="{00000000-0010-0000-0000-000009000000}" name="Answer Option"/>
    <tableColumn id="10" xr3:uid="{00000000-0010-0000-0000-00000A000000}" name="Internal Value"/>
    <tableColumn id="11" xr3:uid="{00000000-0010-0000-0000-00000B000000}" name="Score /100"/>
    <tableColumn id="12" xr3:uid="{00000000-0010-0000-0000-00000C000000}" name="Revised Question / Answer Wording"/>
    <tableColumn id="13" xr3:uid="{00000000-0010-0000-0000-00000D000000}" name="Clinical Rationale"/>
    <tableColumn id="14" xr3:uid="{00000000-0010-0000-0000-00000E000000}" name="Evidence / Source"/>
    <tableColumn id="15" xr3:uid="{00000000-0010-0000-0000-00000F000000}" name="Safety Concern"/>
    <tableColumn id="16" xr3:uid="{00000000-0010-0000-0000-000010000000}" name="Recommended Action"/>
    <tableColumn id="17" xr3:uid="{00000000-0010-0000-0000-000011000000}" name="Review Status"/>
    <tableColumn id="18" xr3:uid="{00000000-0010-0000-0000-000012000000}" name="Implementation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lowMapTable" displayName="FlowMapTable" ref="A5:J14">
  <tableColumns count="10">
    <tableColumn id="1" xr3:uid="{00000000-0010-0000-0100-000001000000}" name="Sequence"/>
    <tableColumn id="2" xr3:uid="{00000000-0010-0000-0100-000002000000}" name="Screen / Step ID"/>
    <tableColumn id="3" xr3:uid="{00000000-0010-0000-0100-000003000000}" name="Title"/>
    <tableColumn id="4" xr3:uid="{00000000-0010-0000-0100-000004000000}" name="Questions"/>
    <tableColumn id="5" xr3:uid="{00000000-0010-0000-0100-000005000000}" name="Required to Continue"/>
    <tableColumn id="6" xr3:uid="{00000000-0010-0000-0100-000006000000}" name="Optional Questions"/>
    <tableColumn id="7" xr3:uid="{00000000-0010-0000-0100-000007000000}" name="Next Destination"/>
    <tableColumn id="8" xr3:uid="{00000000-0010-0000-0100-000008000000}" name="Answer-dependent Branch?"/>
    <tableColumn id="9" xr3:uid="{00000000-0010-0000-0100-000009000000}" name="Review Notes"/>
    <tableColumn id="10" xr3:uid="{00000000-0010-0000-0100-00000A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posedChangesTable" displayName="ProposedChangesTable" ref="A4:R34">
  <tableColumns count="18">
    <tableColumn id="1" xr3:uid="{00000000-0010-0000-0200-000001000000}" name="Change ID"/>
    <tableColumn id="2" xr3:uid="{00000000-0010-0000-0200-000002000000}" name="Action"/>
    <tableColumn id="3" xr3:uid="{00000000-0010-0000-0200-000003000000}" name="Content Type"/>
    <tableColumn id="4" xr3:uid="{00000000-0010-0000-0200-000004000000}" name="Target Step / Section"/>
    <tableColumn id="5" xr3:uid="{00000000-0010-0000-0200-000005000000}" name="Existing ID"/>
    <tableColumn id="6" xr3:uid="{00000000-0010-0000-0200-000006000000}" name="Proposed New ID"/>
    <tableColumn id="7" xr3:uid="{00000000-0010-0000-0200-000007000000}" name="Current Wording / Rule"/>
    <tableColumn id="8" xr3:uid="{00000000-0010-0000-0200-000008000000}" name="Proposed Wording / Rule"/>
    <tableColumn id="9" xr3:uid="{00000000-0010-0000-0200-000009000000}" name="Answer Options / Values"/>
    <tableColumn id="10" xr3:uid="{00000000-0010-0000-0200-00000A000000}" name="Score(s)"/>
    <tableColumn id="11" xr3:uid="{00000000-0010-0000-0200-00000B000000}" name="Condition / Branch Logic"/>
    <tableColumn id="12" xr3:uid="{00000000-0010-0000-0200-00000C000000}" name="Advice / Result"/>
    <tableColumn id="13" xr3:uid="{00000000-0010-0000-0200-00000D000000}" name="Clinical Rationale"/>
    <tableColumn id="14" xr3:uid="{00000000-0010-0000-0200-00000E000000}" name="Evidence / Source"/>
    <tableColumn id="15" xr3:uid="{00000000-0010-0000-0200-00000F000000}" name="Safety Concern"/>
    <tableColumn id="16" xr3:uid="{00000000-0010-0000-0200-000010000000}" name="Priority"/>
    <tableColumn id="17" xr3:uid="{00000000-0010-0000-0200-000011000000}" name="Approval Status"/>
    <tableColumn id="18" xr3:uid="{00000000-0010-0000-0200-000012000000}" name="Implementation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showGridLines="0" topLeftCell="A22" workbookViewId="0">
      <selection sqref="A1:H1"/>
    </sheetView>
  </sheetViews>
  <sheetFormatPr defaultRowHeight="13.8"/>
  <cols>
    <col min="1" max="1" width="10" customWidth="1"/>
    <col min="2" max="2" width="22" customWidth="1"/>
    <col min="3" max="8" width="18" customWidth="1"/>
  </cols>
  <sheetData>
    <row r="1" spans="1:8" ht="34.049999999999997" customHeight="1">
      <c r="A1" s="17" t="s">
        <v>0</v>
      </c>
      <c r="B1" s="17"/>
      <c r="C1" s="17"/>
      <c r="D1" s="17"/>
      <c r="E1" s="17"/>
      <c r="F1" s="17"/>
      <c r="G1" s="17"/>
      <c r="H1" s="17"/>
    </row>
    <row r="2" spans="1:8" ht="28.05" customHeight="1">
      <c r="A2" s="18" t="s">
        <v>1</v>
      </c>
      <c r="B2" s="18"/>
      <c r="C2" s="18"/>
      <c r="D2" s="18"/>
      <c r="E2" s="18"/>
      <c r="F2" s="18"/>
      <c r="G2" s="18"/>
      <c r="H2" s="18"/>
    </row>
    <row r="3" spans="1:8" ht="28.05" customHeight="1">
      <c r="A3" s="18"/>
      <c r="B3" s="18"/>
      <c r="C3" s="18"/>
      <c r="D3" s="18"/>
      <c r="E3" s="18"/>
      <c r="F3" s="18"/>
      <c r="G3" s="18"/>
      <c r="H3" s="18"/>
    </row>
    <row r="4" spans="1:8" ht="24" customHeight="1">
      <c r="A4" s="19" t="s">
        <v>2</v>
      </c>
      <c r="B4" s="19"/>
      <c r="C4" s="19"/>
      <c r="D4" s="19"/>
      <c r="E4" s="19"/>
      <c r="F4" s="19"/>
      <c r="G4" s="19"/>
      <c r="H4" s="19"/>
    </row>
    <row r="5" spans="1:8">
      <c r="A5" s="20" t="s">
        <v>3</v>
      </c>
      <c r="B5" s="21"/>
      <c r="C5" s="21"/>
      <c r="D5" s="21"/>
      <c r="E5" s="21"/>
      <c r="F5" s="21"/>
      <c r="G5" s="21"/>
      <c r="H5" s="22"/>
    </row>
    <row r="6" spans="1:8">
      <c r="A6" s="23"/>
      <c r="B6" s="24"/>
      <c r="C6" s="24"/>
      <c r="D6" s="24"/>
      <c r="E6" s="24"/>
      <c r="F6" s="24"/>
      <c r="G6" s="24"/>
      <c r="H6" s="25"/>
    </row>
    <row r="7" spans="1:8">
      <c r="A7" s="26"/>
      <c r="B7" s="27"/>
      <c r="C7" s="27"/>
      <c r="D7" s="27"/>
      <c r="E7" s="27"/>
      <c r="F7" s="27"/>
      <c r="G7" s="27"/>
      <c r="H7" s="28"/>
    </row>
    <row r="8" spans="1:8" ht="14.4">
      <c r="A8" s="1"/>
      <c r="B8" s="1"/>
      <c r="C8" s="1"/>
      <c r="D8" s="1"/>
      <c r="E8" s="1"/>
      <c r="F8" s="1"/>
      <c r="G8" s="1"/>
      <c r="H8" s="1"/>
    </row>
    <row r="9" spans="1:8" ht="24" customHeight="1">
      <c r="A9" s="19" t="s">
        <v>4</v>
      </c>
      <c r="B9" s="19"/>
      <c r="C9" s="19"/>
      <c r="D9" s="19"/>
      <c r="E9" s="19" t="s">
        <v>5</v>
      </c>
      <c r="F9" s="19"/>
      <c r="G9" s="19"/>
      <c r="H9" s="19"/>
    </row>
    <row r="10" spans="1:8" ht="14.4">
      <c r="A10" s="2" t="s">
        <v>6</v>
      </c>
      <c r="B10" s="3">
        <v>7</v>
      </c>
      <c r="C10" s="1"/>
      <c r="D10" s="1"/>
      <c r="E10" s="29" t="s">
        <v>7</v>
      </c>
      <c r="F10" s="30"/>
      <c r="G10" s="30"/>
      <c r="H10" s="31"/>
    </row>
    <row r="11" spans="1:8" ht="14.4">
      <c r="A11" s="2" t="s">
        <v>8</v>
      </c>
      <c r="B11" s="3">
        <v>16</v>
      </c>
      <c r="C11" s="1"/>
      <c r="D11" s="1"/>
      <c r="E11" s="32"/>
      <c r="F11" s="33"/>
      <c r="G11" s="33"/>
      <c r="H11" s="34"/>
    </row>
    <row r="12" spans="1:8" ht="27.6">
      <c r="A12" s="2" t="s">
        <v>9</v>
      </c>
      <c r="B12" s="3">
        <v>67</v>
      </c>
      <c r="C12" s="1"/>
      <c r="D12" s="1"/>
      <c r="E12" s="32"/>
      <c r="F12" s="33"/>
      <c r="G12" s="33"/>
      <c r="H12" s="34"/>
    </row>
    <row r="13" spans="1:8" ht="27.6">
      <c r="A13" s="2" t="s">
        <v>10</v>
      </c>
      <c r="B13" s="3">
        <v>13</v>
      </c>
      <c r="C13" s="1"/>
      <c r="D13" s="1"/>
      <c r="E13" s="32"/>
      <c r="F13" s="33"/>
      <c r="G13" s="33"/>
      <c r="H13" s="34"/>
    </row>
    <row r="14" spans="1:8" ht="27.6">
      <c r="A14" s="2" t="s">
        <v>11</v>
      </c>
      <c r="B14" s="3">
        <v>6</v>
      </c>
      <c r="C14" s="1"/>
      <c r="D14" s="1"/>
      <c r="E14" s="32"/>
      <c r="F14" s="33"/>
      <c r="G14" s="33"/>
      <c r="H14" s="34"/>
    </row>
    <row r="15" spans="1:8" ht="41.4">
      <c r="A15" s="2" t="s">
        <v>12</v>
      </c>
      <c r="B15" s="3">
        <v>5</v>
      </c>
      <c r="C15" s="1"/>
      <c r="D15" s="1"/>
      <c r="E15" s="35"/>
      <c r="F15" s="36"/>
      <c r="G15" s="36"/>
      <c r="H15" s="37"/>
    </row>
    <row r="16" spans="1:8" ht="14.4">
      <c r="A16" s="1"/>
      <c r="B16" s="1"/>
      <c r="C16" s="1"/>
      <c r="D16" s="1"/>
      <c r="E16" s="1"/>
      <c r="F16" s="1"/>
      <c r="G16" s="1"/>
      <c r="H16" s="1"/>
    </row>
    <row r="17" spans="1:8" ht="24" customHeight="1">
      <c r="A17" s="19" t="s">
        <v>13</v>
      </c>
      <c r="B17" s="19"/>
      <c r="C17" s="19"/>
      <c r="D17" s="19"/>
      <c r="E17" s="19"/>
      <c r="F17" s="19"/>
      <c r="G17" s="19"/>
      <c r="H17" s="19"/>
    </row>
    <row r="18" spans="1:8" ht="34.049999999999997" customHeight="1">
      <c r="A18" s="4" t="s">
        <v>14</v>
      </c>
      <c r="B18" s="2" t="s">
        <v>15</v>
      </c>
      <c r="C18" s="38" t="s">
        <v>16</v>
      </c>
      <c r="D18" s="38"/>
      <c r="E18" s="38"/>
      <c r="F18" s="38"/>
      <c r="G18" s="38"/>
      <c r="H18" s="38"/>
    </row>
    <row r="19" spans="1:8" ht="34.049999999999997" customHeight="1">
      <c r="A19" s="4" t="s">
        <v>17</v>
      </c>
      <c r="B19" s="2" t="s">
        <v>18</v>
      </c>
      <c r="C19" s="38" t="s">
        <v>19</v>
      </c>
      <c r="D19" s="38"/>
      <c r="E19" s="38"/>
      <c r="F19" s="38"/>
      <c r="G19" s="38"/>
      <c r="H19" s="38"/>
    </row>
    <row r="20" spans="1:8" ht="34.049999999999997" customHeight="1">
      <c r="A20" s="4" t="s">
        <v>20</v>
      </c>
      <c r="B20" s="2" t="s">
        <v>21</v>
      </c>
      <c r="C20" s="38" t="s">
        <v>22</v>
      </c>
      <c r="D20" s="38"/>
      <c r="E20" s="38"/>
      <c r="F20" s="38"/>
      <c r="G20" s="38"/>
      <c r="H20" s="38"/>
    </row>
    <row r="21" spans="1:8" ht="34.049999999999997" customHeight="1">
      <c r="A21" s="4" t="s">
        <v>23</v>
      </c>
      <c r="B21" s="2" t="s">
        <v>24</v>
      </c>
      <c r="C21" s="38" t="s">
        <v>25</v>
      </c>
      <c r="D21" s="38"/>
      <c r="E21" s="38"/>
      <c r="F21" s="38"/>
      <c r="G21" s="38"/>
      <c r="H21" s="38"/>
    </row>
    <row r="22" spans="1:8" ht="34.049999999999997" customHeight="1">
      <c r="A22" s="4" t="s">
        <v>26</v>
      </c>
      <c r="B22" s="2" t="s">
        <v>27</v>
      </c>
      <c r="C22" s="38" t="s">
        <v>28</v>
      </c>
      <c r="D22" s="38"/>
      <c r="E22" s="38"/>
      <c r="F22" s="38"/>
      <c r="G22" s="38"/>
      <c r="H22" s="38"/>
    </row>
    <row r="23" spans="1:8" ht="34.049999999999997" customHeight="1">
      <c r="A23" s="4" t="s">
        <v>29</v>
      </c>
      <c r="B23" s="2" t="s">
        <v>30</v>
      </c>
      <c r="C23" s="38" t="s">
        <v>31</v>
      </c>
      <c r="D23" s="38"/>
      <c r="E23" s="38"/>
      <c r="F23" s="38"/>
      <c r="G23" s="38"/>
      <c r="H23" s="38"/>
    </row>
    <row r="24" spans="1:8" ht="14.4">
      <c r="A24" s="1"/>
      <c r="B24" s="1"/>
      <c r="C24" s="1"/>
      <c r="D24" s="1"/>
      <c r="E24" s="1"/>
      <c r="F24" s="1"/>
      <c r="G24" s="1"/>
      <c r="H24" s="1"/>
    </row>
    <row r="25" spans="1:8" ht="24" customHeight="1">
      <c r="A25" s="19" t="s">
        <v>32</v>
      </c>
      <c r="B25" s="19"/>
      <c r="C25" s="19"/>
      <c r="D25" s="19"/>
      <c r="E25" s="19"/>
      <c r="F25" s="19"/>
      <c r="G25" s="19"/>
      <c r="H25" s="19"/>
    </row>
    <row r="26" spans="1:8" ht="27.6">
      <c r="A26" s="6" t="s">
        <v>33</v>
      </c>
      <c r="B26" s="6"/>
      <c r="C26" s="7" t="s">
        <v>34</v>
      </c>
      <c r="D26" s="7"/>
      <c r="E26" s="8" t="s">
        <v>35</v>
      </c>
      <c r="F26" s="8"/>
      <c r="G26" s="9" t="s">
        <v>36</v>
      </c>
      <c r="H26" s="9"/>
    </row>
    <row r="27" spans="1:8" ht="69">
      <c r="A27" s="10" t="s">
        <v>37</v>
      </c>
      <c r="B27" s="10"/>
      <c r="C27" s="11" t="s">
        <v>38</v>
      </c>
      <c r="D27" s="11"/>
      <c r="E27" s="12" t="s">
        <v>39</v>
      </c>
      <c r="F27" s="12"/>
      <c r="G27" s="13" t="s">
        <v>40</v>
      </c>
      <c r="H27" s="13"/>
    </row>
  </sheetData>
  <mergeCells count="15">
    <mergeCell ref="C21:H21"/>
    <mergeCell ref="C22:H22"/>
    <mergeCell ref="C23:H23"/>
    <mergeCell ref="A25:H25"/>
    <mergeCell ref="E10:H15"/>
    <mergeCell ref="A17:H17"/>
    <mergeCell ref="C18:H18"/>
    <mergeCell ref="C19:H19"/>
    <mergeCell ref="C20:H20"/>
    <mergeCell ref="A1:H1"/>
    <mergeCell ref="A2:H3"/>
    <mergeCell ref="A4:H4"/>
    <mergeCell ref="A5:H7"/>
    <mergeCell ref="A9:D9"/>
    <mergeCell ref="E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1"/>
  <sheetViews>
    <sheetView showGridLines="0" topLeftCell="A64" workbookViewId="0">
      <selection sqref="A1:R1"/>
    </sheetView>
  </sheetViews>
  <sheetFormatPr defaultRowHeight="13.8"/>
  <cols>
    <col min="1" max="1" width="28" customWidth="1"/>
    <col min="2" max="2" width="8" customWidth="1"/>
    <col min="3" max="3" width="20" customWidth="1"/>
    <col min="4" max="4" width="24" customWidth="1"/>
    <col min="5" max="5" width="22" customWidth="1"/>
    <col min="6" max="6" width="42" customWidth="1"/>
    <col min="7" max="7" width="20" customWidth="1"/>
    <col min="8" max="8" width="12" customWidth="1"/>
    <col min="9" max="9" width="30" customWidth="1"/>
    <col min="10" max="10" width="20" customWidth="1"/>
    <col min="11" max="11" width="11" customWidth="1"/>
    <col min="12" max="12" width="38" customWidth="1"/>
    <col min="13" max="13" width="34" customWidth="1"/>
    <col min="14" max="15" width="30" customWidth="1"/>
    <col min="16" max="16" width="18" customWidth="1"/>
    <col min="17" max="17" width="20" customWidth="1"/>
    <col min="18" max="18" width="32" customWidth="1"/>
  </cols>
  <sheetData>
    <row r="1" spans="1:18" ht="34.049999999999997" customHeight="1">
      <c r="A1" s="17" t="s">
        <v>15</v>
      </c>
      <c r="B1" s="17"/>
      <c r="C1" s="17"/>
      <c r="D1" s="17"/>
      <c r="E1" s="17"/>
      <c r="F1" s="17"/>
      <c r="G1" s="17"/>
      <c r="H1" s="17"/>
      <c r="I1" s="17"/>
      <c r="J1" s="17"/>
      <c r="K1" s="17"/>
      <c r="L1" s="17"/>
      <c r="M1" s="17"/>
      <c r="N1" s="17"/>
      <c r="O1" s="17"/>
      <c r="P1" s="17"/>
      <c r="Q1" s="17"/>
      <c r="R1" s="17"/>
    </row>
    <row r="2" spans="1:18" ht="28.05" customHeight="1">
      <c r="A2" s="18" t="s">
        <v>41</v>
      </c>
      <c r="B2" s="18"/>
      <c r="C2" s="18"/>
      <c r="D2" s="18"/>
      <c r="E2" s="18"/>
      <c r="F2" s="18"/>
      <c r="G2" s="18"/>
      <c r="H2" s="18"/>
      <c r="I2" s="18"/>
      <c r="J2" s="18"/>
      <c r="K2" s="18"/>
      <c r="L2" s="18"/>
      <c r="M2" s="18"/>
      <c r="N2" s="18"/>
      <c r="O2" s="18"/>
      <c r="P2" s="18"/>
      <c r="Q2" s="18"/>
      <c r="R2" s="18"/>
    </row>
    <row r="3" spans="1:18" ht="28.05" customHeight="1">
      <c r="A3" s="18"/>
      <c r="B3" s="18"/>
      <c r="C3" s="18"/>
      <c r="D3" s="18"/>
      <c r="E3" s="18"/>
      <c r="F3" s="18"/>
      <c r="G3" s="18"/>
      <c r="H3" s="18"/>
      <c r="I3" s="18"/>
      <c r="J3" s="18"/>
      <c r="K3" s="18"/>
      <c r="L3" s="18"/>
      <c r="M3" s="18"/>
      <c r="N3" s="18"/>
      <c r="O3" s="18"/>
      <c r="P3" s="18"/>
      <c r="Q3" s="18"/>
      <c r="R3" s="18"/>
    </row>
    <row r="4" spans="1:18" ht="34.049999999999997" customHeight="1">
      <c r="A4" s="4" t="s">
        <v>42</v>
      </c>
      <c r="B4" s="4" t="s">
        <v>43</v>
      </c>
      <c r="C4" s="4" t="s">
        <v>44</v>
      </c>
      <c r="D4" s="4" t="s">
        <v>45</v>
      </c>
      <c r="E4" s="4" t="s">
        <v>46</v>
      </c>
      <c r="F4" s="4" t="s">
        <v>47</v>
      </c>
      <c r="G4" s="4" t="s">
        <v>48</v>
      </c>
      <c r="H4" s="4" t="s">
        <v>49</v>
      </c>
      <c r="I4" s="4" t="s">
        <v>50</v>
      </c>
      <c r="J4" s="4" t="s">
        <v>51</v>
      </c>
      <c r="K4" s="4" t="s">
        <v>52</v>
      </c>
      <c r="L4" s="4" t="s">
        <v>53</v>
      </c>
      <c r="M4" s="4" t="s">
        <v>54</v>
      </c>
      <c r="N4" s="4" t="s">
        <v>55</v>
      </c>
      <c r="O4" s="4" t="s">
        <v>56</v>
      </c>
      <c r="P4" s="4" t="s">
        <v>57</v>
      </c>
      <c r="Q4" s="4" t="s">
        <v>58</v>
      </c>
      <c r="R4" s="4" t="s">
        <v>59</v>
      </c>
    </row>
    <row r="5" spans="1:18" ht="42" customHeight="1">
      <c r="A5" s="5" t="s">
        <v>60</v>
      </c>
      <c r="B5" s="3">
        <v>1</v>
      </c>
      <c r="C5" s="5" t="s">
        <v>61</v>
      </c>
      <c r="D5" s="5" t="s">
        <v>62</v>
      </c>
      <c r="E5" s="5" t="s">
        <v>63</v>
      </c>
      <c r="F5" s="5" t="s">
        <v>64</v>
      </c>
      <c r="G5" s="5" t="s">
        <v>65</v>
      </c>
      <c r="H5" s="5" t="s">
        <v>66</v>
      </c>
      <c r="I5" s="5" t="s">
        <v>67</v>
      </c>
      <c r="J5" s="5" t="s">
        <v>67</v>
      </c>
      <c r="K5" s="14"/>
      <c r="L5" s="11"/>
      <c r="M5" s="11"/>
      <c r="N5" s="11"/>
      <c r="O5" s="12"/>
      <c r="P5" s="11" t="s">
        <v>68</v>
      </c>
      <c r="Q5" s="11" t="s">
        <v>69</v>
      </c>
      <c r="R5" s="11"/>
    </row>
    <row r="6" spans="1:18" ht="42" customHeight="1">
      <c r="A6" s="5" t="s">
        <v>70</v>
      </c>
      <c r="B6" s="3">
        <v>1</v>
      </c>
      <c r="C6" s="5" t="s">
        <v>61</v>
      </c>
      <c r="D6" s="5" t="s">
        <v>62</v>
      </c>
      <c r="E6" s="5" t="s">
        <v>63</v>
      </c>
      <c r="F6" s="5" t="s">
        <v>64</v>
      </c>
      <c r="G6" s="5" t="s">
        <v>65</v>
      </c>
      <c r="H6" s="5" t="s">
        <v>66</v>
      </c>
      <c r="I6" s="5" t="s">
        <v>71</v>
      </c>
      <c r="J6" s="5" t="s">
        <v>71</v>
      </c>
      <c r="K6" s="14"/>
      <c r="L6" s="11"/>
      <c r="M6" s="11"/>
      <c r="N6" s="11"/>
      <c r="O6" s="12"/>
      <c r="P6" s="11" t="s">
        <v>68</v>
      </c>
      <c r="Q6" s="11" t="s">
        <v>69</v>
      </c>
      <c r="R6" s="11"/>
    </row>
    <row r="7" spans="1:18" ht="42" customHeight="1">
      <c r="A7" s="5" t="s">
        <v>72</v>
      </c>
      <c r="B7" s="3">
        <v>1</v>
      </c>
      <c r="C7" s="5" t="s">
        <v>61</v>
      </c>
      <c r="D7" s="5" t="s">
        <v>62</v>
      </c>
      <c r="E7" s="5" t="s">
        <v>63</v>
      </c>
      <c r="F7" s="5" t="s">
        <v>64</v>
      </c>
      <c r="G7" s="5" t="s">
        <v>65</v>
      </c>
      <c r="H7" s="5" t="s">
        <v>66</v>
      </c>
      <c r="I7" s="5" t="s">
        <v>73</v>
      </c>
      <c r="J7" s="5" t="s">
        <v>73</v>
      </c>
      <c r="K7" s="14"/>
      <c r="L7" s="11"/>
      <c r="M7" s="11"/>
      <c r="N7" s="11"/>
      <c r="O7" s="12"/>
      <c r="P7" s="11" t="s">
        <v>68</v>
      </c>
      <c r="Q7" s="11" t="s">
        <v>69</v>
      </c>
      <c r="R7" s="11"/>
    </row>
    <row r="8" spans="1:18" ht="42" customHeight="1">
      <c r="A8" s="5" t="s">
        <v>74</v>
      </c>
      <c r="B8" s="3">
        <v>1</v>
      </c>
      <c r="C8" s="5" t="s">
        <v>61</v>
      </c>
      <c r="D8" s="5" t="s">
        <v>62</v>
      </c>
      <c r="E8" s="5" t="s">
        <v>63</v>
      </c>
      <c r="F8" s="5" t="s">
        <v>64</v>
      </c>
      <c r="G8" s="5" t="s">
        <v>65</v>
      </c>
      <c r="H8" s="5" t="s">
        <v>66</v>
      </c>
      <c r="I8" s="5" t="s">
        <v>75</v>
      </c>
      <c r="J8" s="5" t="s">
        <v>75</v>
      </c>
      <c r="K8" s="14"/>
      <c r="L8" s="11"/>
      <c r="M8" s="11"/>
      <c r="N8" s="11"/>
      <c r="O8" s="12"/>
      <c r="P8" s="11" t="s">
        <v>68</v>
      </c>
      <c r="Q8" s="11" t="s">
        <v>69</v>
      </c>
      <c r="R8" s="11"/>
    </row>
    <row r="9" spans="1:18" ht="42" customHeight="1">
      <c r="A9" s="5" t="s">
        <v>76</v>
      </c>
      <c r="B9" s="3">
        <v>1</v>
      </c>
      <c r="C9" s="5" t="s">
        <v>61</v>
      </c>
      <c r="D9" s="5" t="s">
        <v>62</v>
      </c>
      <c r="E9" s="5" t="s">
        <v>63</v>
      </c>
      <c r="F9" s="5" t="s">
        <v>64</v>
      </c>
      <c r="G9" s="5" t="s">
        <v>65</v>
      </c>
      <c r="H9" s="5" t="s">
        <v>66</v>
      </c>
      <c r="I9" s="5" t="s">
        <v>77</v>
      </c>
      <c r="J9" s="5" t="s">
        <v>77</v>
      </c>
      <c r="K9" s="14"/>
      <c r="L9" s="11"/>
      <c r="M9" s="11"/>
      <c r="N9" s="11"/>
      <c r="O9" s="12"/>
      <c r="P9" s="11" t="s">
        <v>68</v>
      </c>
      <c r="Q9" s="11" t="s">
        <v>69</v>
      </c>
      <c r="R9" s="11"/>
    </row>
    <row r="10" spans="1:18" ht="42" customHeight="1">
      <c r="A10" s="5" t="s">
        <v>78</v>
      </c>
      <c r="B10" s="3">
        <v>1</v>
      </c>
      <c r="C10" s="5" t="s">
        <v>61</v>
      </c>
      <c r="D10" s="5" t="s">
        <v>62</v>
      </c>
      <c r="E10" s="5" t="s">
        <v>63</v>
      </c>
      <c r="F10" s="5" t="s">
        <v>64</v>
      </c>
      <c r="G10" s="5" t="s">
        <v>65</v>
      </c>
      <c r="H10" s="5" t="s">
        <v>66</v>
      </c>
      <c r="I10" s="5" t="s">
        <v>79</v>
      </c>
      <c r="J10" s="5" t="s">
        <v>80</v>
      </c>
      <c r="K10" s="14"/>
      <c r="L10" s="11"/>
      <c r="M10" s="11"/>
      <c r="N10" s="11"/>
      <c r="O10" s="12"/>
      <c r="P10" s="11" t="s">
        <v>68</v>
      </c>
      <c r="Q10" s="11" t="s">
        <v>69</v>
      </c>
      <c r="R10" s="11"/>
    </row>
    <row r="11" spans="1:18" ht="42" customHeight="1">
      <c r="A11" s="5" t="s">
        <v>81</v>
      </c>
      <c r="B11" s="3">
        <v>1</v>
      </c>
      <c r="C11" s="5" t="s">
        <v>61</v>
      </c>
      <c r="D11" s="5" t="s">
        <v>62</v>
      </c>
      <c r="E11" s="5" t="s">
        <v>82</v>
      </c>
      <c r="F11" s="5" t="s">
        <v>83</v>
      </c>
      <c r="G11" s="5" t="s">
        <v>65</v>
      </c>
      <c r="H11" s="5" t="s">
        <v>84</v>
      </c>
      <c r="I11" s="5" t="s">
        <v>85</v>
      </c>
      <c r="J11" s="5" t="s">
        <v>86</v>
      </c>
      <c r="K11" s="14"/>
      <c r="L11" s="11"/>
      <c r="M11" s="11"/>
      <c r="N11" s="11"/>
      <c r="O11" s="12"/>
      <c r="P11" s="11" t="s">
        <v>68</v>
      </c>
      <c r="Q11" s="11" t="s">
        <v>69</v>
      </c>
      <c r="R11" s="11"/>
    </row>
    <row r="12" spans="1:18" ht="42" customHeight="1">
      <c r="A12" s="5" t="s">
        <v>87</v>
      </c>
      <c r="B12" s="3">
        <v>1</v>
      </c>
      <c r="C12" s="5" t="s">
        <v>61</v>
      </c>
      <c r="D12" s="5" t="s">
        <v>62</v>
      </c>
      <c r="E12" s="5" t="s">
        <v>82</v>
      </c>
      <c r="F12" s="5" t="s">
        <v>83</v>
      </c>
      <c r="G12" s="5" t="s">
        <v>65</v>
      </c>
      <c r="H12" s="5" t="s">
        <v>84</v>
      </c>
      <c r="I12" s="5" t="s">
        <v>88</v>
      </c>
      <c r="J12" s="5" t="s">
        <v>89</v>
      </c>
      <c r="K12" s="14"/>
      <c r="L12" s="11"/>
      <c r="M12" s="11"/>
      <c r="N12" s="11"/>
      <c r="O12" s="12"/>
      <c r="P12" s="11" t="s">
        <v>68</v>
      </c>
      <c r="Q12" s="11" t="s">
        <v>69</v>
      </c>
      <c r="R12" s="11"/>
    </row>
    <row r="13" spans="1:18" ht="42" customHeight="1">
      <c r="A13" s="5" t="s">
        <v>90</v>
      </c>
      <c r="B13" s="3">
        <v>1</v>
      </c>
      <c r="C13" s="5" t="s">
        <v>61</v>
      </c>
      <c r="D13" s="5" t="s">
        <v>62</v>
      </c>
      <c r="E13" s="5" t="s">
        <v>82</v>
      </c>
      <c r="F13" s="5" t="s">
        <v>83</v>
      </c>
      <c r="G13" s="5" t="s">
        <v>65</v>
      </c>
      <c r="H13" s="5" t="s">
        <v>84</v>
      </c>
      <c r="I13" s="5" t="s">
        <v>91</v>
      </c>
      <c r="J13" s="5" t="s">
        <v>92</v>
      </c>
      <c r="K13" s="14"/>
      <c r="L13" s="11"/>
      <c r="M13" s="11"/>
      <c r="N13" s="11"/>
      <c r="O13" s="12"/>
      <c r="P13" s="11" t="s">
        <v>68</v>
      </c>
      <c r="Q13" s="11" t="s">
        <v>69</v>
      </c>
      <c r="R13" s="11"/>
    </row>
    <row r="14" spans="1:18" ht="42" customHeight="1">
      <c r="A14" s="5" t="s">
        <v>93</v>
      </c>
      <c r="B14" s="3">
        <v>1</v>
      </c>
      <c r="C14" s="5" t="s">
        <v>61</v>
      </c>
      <c r="D14" s="5" t="s">
        <v>62</v>
      </c>
      <c r="E14" s="5" t="s">
        <v>82</v>
      </c>
      <c r="F14" s="5" t="s">
        <v>83</v>
      </c>
      <c r="G14" s="5" t="s">
        <v>65</v>
      </c>
      <c r="H14" s="5" t="s">
        <v>84</v>
      </c>
      <c r="I14" s="5" t="s">
        <v>94</v>
      </c>
      <c r="J14" s="5" t="s">
        <v>95</v>
      </c>
      <c r="K14" s="14"/>
      <c r="L14" s="11"/>
      <c r="M14" s="11"/>
      <c r="N14" s="11"/>
      <c r="O14" s="12"/>
      <c r="P14" s="11" t="s">
        <v>68</v>
      </c>
      <c r="Q14" s="11" t="s">
        <v>69</v>
      </c>
      <c r="R14" s="11"/>
    </row>
    <row r="15" spans="1:18" ht="42" customHeight="1">
      <c r="A15" s="5" t="s">
        <v>96</v>
      </c>
      <c r="B15" s="3">
        <v>1</v>
      </c>
      <c r="C15" s="5" t="s">
        <v>61</v>
      </c>
      <c r="D15" s="5" t="s">
        <v>62</v>
      </c>
      <c r="E15" s="5" t="s">
        <v>97</v>
      </c>
      <c r="F15" s="5" t="s">
        <v>98</v>
      </c>
      <c r="G15" s="5" t="s">
        <v>65</v>
      </c>
      <c r="H15" s="5" t="s">
        <v>66</v>
      </c>
      <c r="I15" s="5" t="s">
        <v>99</v>
      </c>
      <c r="J15" s="5" t="s">
        <v>100</v>
      </c>
      <c r="K15" s="14"/>
      <c r="L15" s="11"/>
      <c r="M15" s="11"/>
      <c r="N15" s="11"/>
      <c r="O15" s="12"/>
      <c r="P15" s="11" t="s">
        <v>68</v>
      </c>
      <c r="Q15" s="11" t="s">
        <v>69</v>
      </c>
      <c r="R15" s="11"/>
    </row>
    <row r="16" spans="1:18" ht="42" customHeight="1">
      <c r="A16" s="5" t="s">
        <v>101</v>
      </c>
      <c r="B16" s="3">
        <v>1</v>
      </c>
      <c r="C16" s="5" t="s">
        <v>61</v>
      </c>
      <c r="D16" s="5" t="s">
        <v>62</v>
      </c>
      <c r="E16" s="5" t="s">
        <v>97</v>
      </c>
      <c r="F16" s="5" t="s">
        <v>98</v>
      </c>
      <c r="G16" s="5" t="s">
        <v>65</v>
      </c>
      <c r="H16" s="5" t="s">
        <v>66</v>
      </c>
      <c r="I16" s="5" t="s">
        <v>102</v>
      </c>
      <c r="J16" s="5" t="s">
        <v>103</v>
      </c>
      <c r="K16" s="14"/>
      <c r="L16" s="11"/>
      <c r="M16" s="11"/>
      <c r="N16" s="11"/>
      <c r="O16" s="12"/>
      <c r="P16" s="11" t="s">
        <v>68</v>
      </c>
      <c r="Q16" s="11" t="s">
        <v>69</v>
      </c>
      <c r="R16" s="11"/>
    </row>
    <row r="17" spans="1:18" ht="42" customHeight="1">
      <c r="A17" s="5" t="s">
        <v>104</v>
      </c>
      <c r="B17" s="3">
        <v>1</v>
      </c>
      <c r="C17" s="5" t="s">
        <v>61</v>
      </c>
      <c r="D17" s="5" t="s">
        <v>62</v>
      </c>
      <c r="E17" s="5" t="s">
        <v>97</v>
      </c>
      <c r="F17" s="5" t="s">
        <v>98</v>
      </c>
      <c r="G17" s="5" t="s">
        <v>65</v>
      </c>
      <c r="H17" s="5" t="s">
        <v>66</v>
      </c>
      <c r="I17" s="5" t="s">
        <v>105</v>
      </c>
      <c r="J17" s="5" t="s">
        <v>106</v>
      </c>
      <c r="K17" s="14"/>
      <c r="L17" s="11"/>
      <c r="M17" s="11"/>
      <c r="N17" s="11"/>
      <c r="O17" s="12"/>
      <c r="P17" s="11" t="s">
        <v>68</v>
      </c>
      <c r="Q17" s="11" t="s">
        <v>69</v>
      </c>
      <c r="R17" s="11"/>
    </row>
    <row r="18" spans="1:18" ht="42" customHeight="1">
      <c r="A18" s="5" t="s">
        <v>107</v>
      </c>
      <c r="B18" s="3">
        <v>1</v>
      </c>
      <c r="C18" s="5" t="s">
        <v>61</v>
      </c>
      <c r="D18" s="5" t="s">
        <v>62</v>
      </c>
      <c r="E18" s="5" t="s">
        <v>97</v>
      </c>
      <c r="F18" s="5" t="s">
        <v>98</v>
      </c>
      <c r="G18" s="5" t="s">
        <v>65</v>
      </c>
      <c r="H18" s="5" t="s">
        <v>66</v>
      </c>
      <c r="I18" s="5" t="s">
        <v>108</v>
      </c>
      <c r="J18" s="5" t="s">
        <v>109</v>
      </c>
      <c r="K18" s="14"/>
      <c r="L18" s="11"/>
      <c r="M18" s="11"/>
      <c r="N18" s="11"/>
      <c r="O18" s="12"/>
      <c r="P18" s="11" t="s">
        <v>68</v>
      </c>
      <c r="Q18" s="11" t="s">
        <v>69</v>
      </c>
      <c r="R18" s="11"/>
    </row>
    <row r="19" spans="1:18" ht="42" customHeight="1">
      <c r="A19" s="5" t="s">
        <v>110</v>
      </c>
      <c r="B19" s="3">
        <v>1</v>
      </c>
      <c r="C19" s="5" t="s">
        <v>61</v>
      </c>
      <c r="D19" s="5" t="s">
        <v>62</v>
      </c>
      <c r="E19" s="5" t="s">
        <v>97</v>
      </c>
      <c r="F19" s="5" t="s">
        <v>98</v>
      </c>
      <c r="G19" s="5" t="s">
        <v>65</v>
      </c>
      <c r="H19" s="5" t="s">
        <v>66</v>
      </c>
      <c r="I19" s="5" t="s">
        <v>111</v>
      </c>
      <c r="J19" s="5" t="s">
        <v>112</v>
      </c>
      <c r="K19" s="14"/>
      <c r="L19" s="11"/>
      <c r="M19" s="11"/>
      <c r="N19" s="11"/>
      <c r="O19" s="12"/>
      <c r="P19" s="11" t="s">
        <v>68</v>
      </c>
      <c r="Q19" s="11" t="s">
        <v>69</v>
      </c>
      <c r="R19" s="11"/>
    </row>
    <row r="20" spans="1:18" ht="42" customHeight="1">
      <c r="A20" s="5" t="s">
        <v>113</v>
      </c>
      <c r="B20" s="3">
        <v>2</v>
      </c>
      <c r="C20" s="5" t="s">
        <v>114</v>
      </c>
      <c r="D20" s="5" t="s">
        <v>115</v>
      </c>
      <c r="E20" s="5" t="s">
        <v>116</v>
      </c>
      <c r="F20" s="5" t="s">
        <v>117</v>
      </c>
      <c r="G20" s="5" t="s">
        <v>118</v>
      </c>
      <c r="H20" s="5" t="s">
        <v>66</v>
      </c>
      <c r="I20" s="5" t="s">
        <v>119</v>
      </c>
      <c r="J20" s="5" t="s">
        <v>120</v>
      </c>
      <c r="K20" s="14">
        <v>0</v>
      </c>
      <c r="L20" s="11"/>
      <c r="M20" s="11"/>
      <c r="N20" s="11"/>
      <c r="O20" s="12"/>
      <c r="P20" s="11" t="s">
        <v>68</v>
      </c>
      <c r="Q20" s="11" t="s">
        <v>69</v>
      </c>
      <c r="R20" s="11"/>
    </row>
    <row r="21" spans="1:18" ht="42" customHeight="1">
      <c r="A21" s="5" t="s">
        <v>121</v>
      </c>
      <c r="B21" s="3">
        <v>2</v>
      </c>
      <c r="C21" s="5" t="s">
        <v>114</v>
      </c>
      <c r="D21" s="5" t="s">
        <v>115</v>
      </c>
      <c r="E21" s="5" t="s">
        <v>116</v>
      </c>
      <c r="F21" s="5" t="s">
        <v>117</v>
      </c>
      <c r="G21" s="5" t="s">
        <v>118</v>
      </c>
      <c r="H21" s="5" t="s">
        <v>66</v>
      </c>
      <c r="I21" s="5" t="s">
        <v>122</v>
      </c>
      <c r="J21" s="5" t="s">
        <v>123</v>
      </c>
      <c r="K21" s="14">
        <v>35</v>
      </c>
      <c r="L21" s="11"/>
      <c r="M21" s="11"/>
      <c r="N21" s="11"/>
      <c r="O21" s="12"/>
      <c r="P21" s="11" t="s">
        <v>68</v>
      </c>
      <c r="Q21" s="11" t="s">
        <v>69</v>
      </c>
      <c r="R21" s="11"/>
    </row>
    <row r="22" spans="1:18" ht="42" customHeight="1">
      <c r="A22" s="5" t="s">
        <v>124</v>
      </c>
      <c r="B22" s="3">
        <v>2</v>
      </c>
      <c r="C22" s="5" t="s">
        <v>114</v>
      </c>
      <c r="D22" s="5" t="s">
        <v>115</v>
      </c>
      <c r="E22" s="5" t="s">
        <v>116</v>
      </c>
      <c r="F22" s="5" t="s">
        <v>117</v>
      </c>
      <c r="G22" s="5" t="s">
        <v>118</v>
      </c>
      <c r="H22" s="5" t="s">
        <v>66</v>
      </c>
      <c r="I22" s="5" t="s">
        <v>125</v>
      </c>
      <c r="J22" s="5" t="s">
        <v>126</v>
      </c>
      <c r="K22" s="14">
        <v>80</v>
      </c>
      <c r="L22" s="11"/>
      <c r="M22" s="11"/>
      <c r="N22" s="11"/>
      <c r="O22" s="12"/>
      <c r="P22" s="11" t="s">
        <v>68</v>
      </c>
      <c r="Q22" s="11" t="s">
        <v>69</v>
      </c>
      <c r="R22" s="11"/>
    </row>
    <row r="23" spans="1:18" ht="42" customHeight="1">
      <c r="A23" s="5" t="s">
        <v>127</v>
      </c>
      <c r="B23" s="3">
        <v>2</v>
      </c>
      <c r="C23" s="5" t="s">
        <v>114</v>
      </c>
      <c r="D23" s="5" t="s">
        <v>115</v>
      </c>
      <c r="E23" s="5" t="s">
        <v>116</v>
      </c>
      <c r="F23" s="5" t="s">
        <v>117</v>
      </c>
      <c r="G23" s="5" t="s">
        <v>118</v>
      </c>
      <c r="H23" s="5" t="s">
        <v>66</v>
      </c>
      <c r="I23" s="5" t="s">
        <v>128</v>
      </c>
      <c r="J23" s="5" t="s">
        <v>129</v>
      </c>
      <c r="K23" s="14">
        <v>100</v>
      </c>
      <c r="L23" s="11"/>
      <c r="M23" s="11"/>
      <c r="N23" s="11"/>
      <c r="O23" s="12"/>
      <c r="P23" s="11" t="s">
        <v>68</v>
      </c>
      <c r="Q23" s="11" t="s">
        <v>69</v>
      </c>
      <c r="R23" s="11"/>
    </row>
    <row r="24" spans="1:18" ht="42" customHeight="1">
      <c r="A24" s="5" t="s">
        <v>130</v>
      </c>
      <c r="B24" s="3">
        <v>2</v>
      </c>
      <c r="C24" s="5" t="s">
        <v>114</v>
      </c>
      <c r="D24" s="5" t="s">
        <v>115</v>
      </c>
      <c r="E24" s="5" t="s">
        <v>131</v>
      </c>
      <c r="F24" s="5" t="s">
        <v>132</v>
      </c>
      <c r="G24" s="5" t="s">
        <v>118</v>
      </c>
      <c r="H24" s="5" t="s">
        <v>66</v>
      </c>
      <c r="I24" s="5" t="s">
        <v>119</v>
      </c>
      <c r="J24" s="5" t="s">
        <v>120</v>
      </c>
      <c r="K24" s="14">
        <v>0</v>
      </c>
      <c r="L24" s="11"/>
      <c r="M24" s="11"/>
      <c r="N24" s="11"/>
      <c r="O24" s="12"/>
      <c r="P24" s="11" t="s">
        <v>68</v>
      </c>
      <c r="Q24" s="11" t="s">
        <v>69</v>
      </c>
      <c r="R24" s="11"/>
    </row>
    <row r="25" spans="1:18" ht="42" customHeight="1">
      <c r="A25" s="5" t="s">
        <v>133</v>
      </c>
      <c r="B25" s="3">
        <v>2</v>
      </c>
      <c r="C25" s="5" t="s">
        <v>114</v>
      </c>
      <c r="D25" s="5" t="s">
        <v>115</v>
      </c>
      <c r="E25" s="5" t="s">
        <v>131</v>
      </c>
      <c r="F25" s="5" t="s">
        <v>132</v>
      </c>
      <c r="G25" s="5" t="s">
        <v>118</v>
      </c>
      <c r="H25" s="5" t="s">
        <v>66</v>
      </c>
      <c r="I25" s="5" t="s">
        <v>122</v>
      </c>
      <c r="J25" s="5" t="s">
        <v>123</v>
      </c>
      <c r="K25" s="14">
        <v>35</v>
      </c>
      <c r="L25" s="11"/>
      <c r="M25" s="11"/>
      <c r="N25" s="11"/>
      <c r="O25" s="12"/>
      <c r="P25" s="11" t="s">
        <v>68</v>
      </c>
      <c r="Q25" s="11" t="s">
        <v>69</v>
      </c>
      <c r="R25" s="11"/>
    </row>
    <row r="26" spans="1:18" ht="42" customHeight="1">
      <c r="A26" s="5" t="s">
        <v>134</v>
      </c>
      <c r="B26" s="3">
        <v>2</v>
      </c>
      <c r="C26" s="5" t="s">
        <v>114</v>
      </c>
      <c r="D26" s="5" t="s">
        <v>115</v>
      </c>
      <c r="E26" s="5" t="s">
        <v>131</v>
      </c>
      <c r="F26" s="5" t="s">
        <v>132</v>
      </c>
      <c r="G26" s="5" t="s">
        <v>118</v>
      </c>
      <c r="H26" s="5" t="s">
        <v>66</v>
      </c>
      <c r="I26" s="5" t="s">
        <v>125</v>
      </c>
      <c r="J26" s="5" t="s">
        <v>126</v>
      </c>
      <c r="K26" s="14">
        <v>70</v>
      </c>
      <c r="L26" s="11"/>
      <c r="M26" s="11"/>
      <c r="N26" s="11"/>
      <c r="O26" s="12"/>
      <c r="P26" s="11" t="s">
        <v>68</v>
      </c>
      <c r="Q26" s="11" t="s">
        <v>69</v>
      </c>
      <c r="R26" s="11"/>
    </row>
    <row r="27" spans="1:18" ht="42" customHeight="1">
      <c r="A27" s="5" t="s">
        <v>135</v>
      </c>
      <c r="B27" s="3">
        <v>2</v>
      </c>
      <c r="C27" s="5" t="s">
        <v>114</v>
      </c>
      <c r="D27" s="5" t="s">
        <v>115</v>
      </c>
      <c r="E27" s="5" t="s">
        <v>131</v>
      </c>
      <c r="F27" s="5" t="s">
        <v>132</v>
      </c>
      <c r="G27" s="5" t="s">
        <v>118</v>
      </c>
      <c r="H27" s="5" t="s">
        <v>66</v>
      </c>
      <c r="I27" s="5" t="s">
        <v>128</v>
      </c>
      <c r="J27" s="5" t="s">
        <v>129</v>
      </c>
      <c r="K27" s="14">
        <v>100</v>
      </c>
      <c r="L27" s="11"/>
      <c r="M27" s="11"/>
      <c r="N27" s="11"/>
      <c r="O27" s="12"/>
      <c r="P27" s="11" t="s">
        <v>68</v>
      </c>
      <c r="Q27" s="11" t="s">
        <v>69</v>
      </c>
      <c r="R27" s="11"/>
    </row>
    <row r="28" spans="1:18" ht="42" customHeight="1">
      <c r="A28" s="5" t="s">
        <v>136</v>
      </c>
      <c r="B28" s="3">
        <v>3</v>
      </c>
      <c r="C28" s="5" t="s">
        <v>137</v>
      </c>
      <c r="D28" s="5" t="s">
        <v>138</v>
      </c>
      <c r="E28" s="5" t="s">
        <v>139</v>
      </c>
      <c r="F28" s="5" t="s">
        <v>140</v>
      </c>
      <c r="G28" s="5" t="s">
        <v>141</v>
      </c>
      <c r="H28" s="5" t="s">
        <v>66</v>
      </c>
      <c r="I28" s="5" t="s">
        <v>142</v>
      </c>
      <c r="J28" s="5" t="s">
        <v>143</v>
      </c>
      <c r="K28" s="14">
        <v>10</v>
      </c>
      <c r="L28" s="11"/>
      <c r="M28" s="11"/>
      <c r="N28" s="11"/>
      <c r="O28" s="12"/>
      <c r="P28" s="11" t="s">
        <v>68</v>
      </c>
      <c r="Q28" s="11" t="s">
        <v>69</v>
      </c>
      <c r="R28" s="11"/>
    </row>
    <row r="29" spans="1:18" ht="42" customHeight="1">
      <c r="A29" s="5" t="s">
        <v>144</v>
      </c>
      <c r="B29" s="3">
        <v>3</v>
      </c>
      <c r="C29" s="5" t="s">
        <v>137</v>
      </c>
      <c r="D29" s="5" t="s">
        <v>138</v>
      </c>
      <c r="E29" s="5" t="s">
        <v>139</v>
      </c>
      <c r="F29" s="5" t="s">
        <v>140</v>
      </c>
      <c r="G29" s="5" t="s">
        <v>141</v>
      </c>
      <c r="H29" s="5" t="s">
        <v>66</v>
      </c>
      <c r="I29" s="5" t="s">
        <v>145</v>
      </c>
      <c r="J29" s="5" t="s">
        <v>146</v>
      </c>
      <c r="K29" s="14">
        <v>40</v>
      </c>
      <c r="L29" s="11"/>
      <c r="M29" s="11"/>
      <c r="N29" s="11"/>
      <c r="O29" s="12"/>
      <c r="P29" s="11" t="s">
        <v>68</v>
      </c>
      <c r="Q29" s="11" t="s">
        <v>69</v>
      </c>
      <c r="R29" s="11"/>
    </row>
    <row r="30" spans="1:18" ht="42" customHeight="1">
      <c r="A30" s="5" t="s">
        <v>147</v>
      </c>
      <c r="B30" s="3">
        <v>3</v>
      </c>
      <c r="C30" s="5" t="s">
        <v>137</v>
      </c>
      <c r="D30" s="5" t="s">
        <v>138</v>
      </c>
      <c r="E30" s="5" t="s">
        <v>139</v>
      </c>
      <c r="F30" s="5" t="s">
        <v>140</v>
      </c>
      <c r="G30" s="5" t="s">
        <v>141</v>
      </c>
      <c r="H30" s="5" t="s">
        <v>66</v>
      </c>
      <c r="I30" s="5" t="s">
        <v>148</v>
      </c>
      <c r="J30" s="5" t="s">
        <v>149</v>
      </c>
      <c r="K30" s="14">
        <v>80</v>
      </c>
      <c r="L30" s="11"/>
      <c r="M30" s="11"/>
      <c r="N30" s="11"/>
      <c r="O30" s="12"/>
      <c r="P30" s="11" t="s">
        <v>68</v>
      </c>
      <c r="Q30" s="11" t="s">
        <v>69</v>
      </c>
      <c r="R30" s="11"/>
    </row>
    <row r="31" spans="1:18" ht="42" customHeight="1">
      <c r="A31" s="5" t="s">
        <v>150</v>
      </c>
      <c r="B31" s="3">
        <v>3</v>
      </c>
      <c r="C31" s="5" t="s">
        <v>137</v>
      </c>
      <c r="D31" s="5" t="s">
        <v>138</v>
      </c>
      <c r="E31" s="5" t="s">
        <v>139</v>
      </c>
      <c r="F31" s="5" t="s">
        <v>140</v>
      </c>
      <c r="G31" s="5" t="s">
        <v>141</v>
      </c>
      <c r="H31" s="5" t="s">
        <v>66</v>
      </c>
      <c r="I31" s="5" t="s">
        <v>151</v>
      </c>
      <c r="J31" s="5" t="s">
        <v>152</v>
      </c>
      <c r="K31" s="14">
        <v>100</v>
      </c>
      <c r="L31" s="11"/>
      <c r="M31" s="11"/>
      <c r="N31" s="11"/>
      <c r="O31" s="12"/>
      <c r="P31" s="11" t="s">
        <v>68</v>
      </c>
      <c r="Q31" s="11" t="s">
        <v>69</v>
      </c>
      <c r="R31" s="11"/>
    </row>
    <row r="32" spans="1:18" ht="42" customHeight="1">
      <c r="A32" s="5" t="s">
        <v>153</v>
      </c>
      <c r="B32" s="3">
        <v>3</v>
      </c>
      <c r="C32" s="5" t="s">
        <v>137</v>
      </c>
      <c r="D32" s="5" t="s">
        <v>138</v>
      </c>
      <c r="E32" s="5" t="s">
        <v>154</v>
      </c>
      <c r="F32" s="5" t="s">
        <v>155</v>
      </c>
      <c r="G32" s="5" t="s">
        <v>141</v>
      </c>
      <c r="H32" s="5" t="s">
        <v>66</v>
      </c>
      <c r="I32" s="5" t="s">
        <v>142</v>
      </c>
      <c r="J32" s="5" t="s">
        <v>143</v>
      </c>
      <c r="K32" s="14">
        <v>10</v>
      </c>
      <c r="L32" s="11"/>
      <c r="M32" s="11"/>
      <c r="N32" s="11"/>
      <c r="O32" s="12"/>
      <c r="P32" s="11" t="s">
        <v>68</v>
      </c>
      <c r="Q32" s="11" t="s">
        <v>69</v>
      </c>
      <c r="R32" s="11"/>
    </row>
    <row r="33" spans="1:18" ht="42" customHeight="1">
      <c r="A33" s="5" t="s">
        <v>156</v>
      </c>
      <c r="B33" s="3">
        <v>3</v>
      </c>
      <c r="C33" s="5" t="s">
        <v>137</v>
      </c>
      <c r="D33" s="5" t="s">
        <v>138</v>
      </c>
      <c r="E33" s="5" t="s">
        <v>154</v>
      </c>
      <c r="F33" s="5" t="s">
        <v>155</v>
      </c>
      <c r="G33" s="5" t="s">
        <v>141</v>
      </c>
      <c r="H33" s="5" t="s">
        <v>66</v>
      </c>
      <c r="I33" s="5" t="s">
        <v>157</v>
      </c>
      <c r="J33" s="5" t="s">
        <v>158</v>
      </c>
      <c r="K33" s="14">
        <v>35</v>
      </c>
      <c r="L33" s="11"/>
      <c r="M33" s="11"/>
      <c r="N33" s="11"/>
      <c r="O33" s="12"/>
      <c r="P33" s="11" t="s">
        <v>68</v>
      </c>
      <c r="Q33" s="11" t="s">
        <v>69</v>
      </c>
      <c r="R33" s="11"/>
    </row>
    <row r="34" spans="1:18" ht="42" customHeight="1">
      <c r="A34" s="5" t="s">
        <v>159</v>
      </c>
      <c r="B34" s="3">
        <v>3</v>
      </c>
      <c r="C34" s="5" t="s">
        <v>137</v>
      </c>
      <c r="D34" s="5" t="s">
        <v>138</v>
      </c>
      <c r="E34" s="5" t="s">
        <v>154</v>
      </c>
      <c r="F34" s="5" t="s">
        <v>155</v>
      </c>
      <c r="G34" s="5" t="s">
        <v>141</v>
      </c>
      <c r="H34" s="5" t="s">
        <v>66</v>
      </c>
      <c r="I34" s="5" t="s">
        <v>145</v>
      </c>
      <c r="J34" s="5" t="s">
        <v>146</v>
      </c>
      <c r="K34" s="14">
        <v>70</v>
      </c>
      <c r="L34" s="11"/>
      <c r="M34" s="11"/>
      <c r="N34" s="11"/>
      <c r="O34" s="12"/>
      <c r="P34" s="11" t="s">
        <v>68</v>
      </c>
      <c r="Q34" s="11" t="s">
        <v>69</v>
      </c>
      <c r="R34" s="11"/>
    </row>
    <row r="35" spans="1:18" ht="42" customHeight="1">
      <c r="A35" s="5" t="s">
        <v>160</v>
      </c>
      <c r="B35" s="3">
        <v>3</v>
      </c>
      <c r="C35" s="5" t="s">
        <v>137</v>
      </c>
      <c r="D35" s="5" t="s">
        <v>138</v>
      </c>
      <c r="E35" s="5" t="s">
        <v>154</v>
      </c>
      <c r="F35" s="5" t="s">
        <v>155</v>
      </c>
      <c r="G35" s="5" t="s">
        <v>141</v>
      </c>
      <c r="H35" s="5" t="s">
        <v>66</v>
      </c>
      <c r="I35" s="5" t="s">
        <v>161</v>
      </c>
      <c r="J35" s="5" t="s">
        <v>162</v>
      </c>
      <c r="K35" s="14">
        <v>100</v>
      </c>
      <c r="L35" s="11"/>
      <c r="M35" s="11"/>
      <c r="N35" s="11"/>
      <c r="O35" s="12"/>
      <c r="P35" s="11" t="s">
        <v>68</v>
      </c>
      <c r="Q35" s="11" t="s">
        <v>69</v>
      </c>
      <c r="R35" s="11"/>
    </row>
    <row r="36" spans="1:18" ht="42" customHeight="1">
      <c r="A36" s="5" t="s">
        <v>163</v>
      </c>
      <c r="B36" s="3">
        <v>4</v>
      </c>
      <c r="C36" s="5" t="s">
        <v>164</v>
      </c>
      <c r="D36" s="5" t="s">
        <v>165</v>
      </c>
      <c r="E36" s="5" t="s">
        <v>166</v>
      </c>
      <c r="F36" s="5" t="s">
        <v>167</v>
      </c>
      <c r="G36" s="5" t="s">
        <v>164</v>
      </c>
      <c r="H36" s="5" t="s">
        <v>66</v>
      </c>
      <c r="I36" s="5" t="s">
        <v>168</v>
      </c>
      <c r="J36" s="5" t="s">
        <v>169</v>
      </c>
      <c r="K36" s="14">
        <v>25</v>
      </c>
      <c r="L36" s="11"/>
      <c r="M36" s="11"/>
      <c r="N36" s="11"/>
      <c r="O36" s="12"/>
      <c r="P36" s="11" t="s">
        <v>68</v>
      </c>
      <c r="Q36" s="11" t="s">
        <v>69</v>
      </c>
      <c r="R36" s="11"/>
    </row>
    <row r="37" spans="1:18" ht="42" customHeight="1">
      <c r="A37" s="5" t="s">
        <v>170</v>
      </c>
      <c r="B37" s="3">
        <v>4</v>
      </c>
      <c r="C37" s="5" t="s">
        <v>164</v>
      </c>
      <c r="D37" s="5" t="s">
        <v>165</v>
      </c>
      <c r="E37" s="5" t="s">
        <v>166</v>
      </c>
      <c r="F37" s="5" t="s">
        <v>167</v>
      </c>
      <c r="G37" s="5" t="s">
        <v>164</v>
      </c>
      <c r="H37" s="5" t="s">
        <v>66</v>
      </c>
      <c r="I37" s="5" t="s">
        <v>171</v>
      </c>
      <c r="J37" s="5" t="s">
        <v>172</v>
      </c>
      <c r="K37" s="14">
        <v>60</v>
      </c>
      <c r="L37" s="11"/>
      <c r="M37" s="11"/>
      <c r="N37" s="11"/>
      <c r="O37" s="12"/>
      <c r="P37" s="11" t="s">
        <v>68</v>
      </c>
      <c r="Q37" s="11" t="s">
        <v>69</v>
      </c>
      <c r="R37" s="11"/>
    </row>
    <row r="38" spans="1:18" ht="42" customHeight="1">
      <c r="A38" s="5" t="s">
        <v>173</v>
      </c>
      <c r="B38" s="3">
        <v>4</v>
      </c>
      <c r="C38" s="5" t="s">
        <v>164</v>
      </c>
      <c r="D38" s="5" t="s">
        <v>165</v>
      </c>
      <c r="E38" s="5" t="s">
        <v>166</v>
      </c>
      <c r="F38" s="5" t="s">
        <v>167</v>
      </c>
      <c r="G38" s="5" t="s">
        <v>164</v>
      </c>
      <c r="H38" s="5" t="s">
        <v>66</v>
      </c>
      <c r="I38" s="5" t="s">
        <v>174</v>
      </c>
      <c r="J38" s="5" t="s">
        <v>175</v>
      </c>
      <c r="K38" s="14">
        <v>85</v>
      </c>
      <c r="L38" s="11"/>
      <c r="M38" s="11"/>
      <c r="N38" s="11"/>
      <c r="O38" s="12"/>
      <c r="P38" s="11" t="s">
        <v>68</v>
      </c>
      <c r="Q38" s="11" t="s">
        <v>69</v>
      </c>
      <c r="R38" s="11"/>
    </row>
    <row r="39" spans="1:18" ht="42" customHeight="1">
      <c r="A39" s="5" t="s">
        <v>176</v>
      </c>
      <c r="B39" s="3">
        <v>4</v>
      </c>
      <c r="C39" s="5" t="s">
        <v>164</v>
      </c>
      <c r="D39" s="5" t="s">
        <v>165</v>
      </c>
      <c r="E39" s="5" t="s">
        <v>166</v>
      </c>
      <c r="F39" s="5" t="s">
        <v>167</v>
      </c>
      <c r="G39" s="5" t="s">
        <v>164</v>
      </c>
      <c r="H39" s="5" t="s">
        <v>66</v>
      </c>
      <c r="I39" s="5" t="s">
        <v>177</v>
      </c>
      <c r="J39" s="5" t="s">
        <v>178</v>
      </c>
      <c r="K39" s="14">
        <v>100</v>
      </c>
      <c r="L39" s="11"/>
      <c r="M39" s="11"/>
      <c r="N39" s="11"/>
      <c r="O39" s="12"/>
      <c r="P39" s="11" t="s">
        <v>68</v>
      </c>
      <c r="Q39" s="11" t="s">
        <v>69</v>
      </c>
      <c r="R39" s="11"/>
    </row>
    <row r="40" spans="1:18" ht="42" customHeight="1">
      <c r="A40" s="5" t="s">
        <v>179</v>
      </c>
      <c r="B40" s="3">
        <v>4</v>
      </c>
      <c r="C40" s="5" t="s">
        <v>164</v>
      </c>
      <c r="D40" s="5" t="s">
        <v>165</v>
      </c>
      <c r="E40" s="5" t="s">
        <v>180</v>
      </c>
      <c r="F40" s="5" t="s">
        <v>181</v>
      </c>
      <c r="G40" s="5" t="s">
        <v>164</v>
      </c>
      <c r="H40" s="5" t="s">
        <v>66</v>
      </c>
      <c r="I40" s="5" t="s">
        <v>182</v>
      </c>
      <c r="J40" s="5" t="s">
        <v>143</v>
      </c>
      <c r="K40" s="14">
        <v>15</v>
      </c>
      <c r="L40" s="11"/>
      <c r="M40" s="11"/>
      <c r="N40" s="11"/>
      <c r="O40" s="12"/>
      <c r="P40" s="11" t="s">
        <v>68</v>
      </c>
      <c r="Q40" s="11" t="s">
        <v>69</v>
      </c>
      <c r="R40" s="11"/>
    </row>
    <row r="41" spans="1:18" ht="42" customHeight="1">
      <c r="A41" s="5" t="s">
        <v>183</v>
      </c>
      <c r="B41" s="3">
        <v>4</v>
      </c>
      <c r="C41" s="5" t="s">
        <v>164</v>
      </c>
      <c r="D41" s="5" t="s">
        <v>165</v>
      </c>
      <c r="E41" s="5" t="s">
        <v>180</v>
      </c>
      <c r="F41" s="5" t="s">
        <v>181</v>
      </c>
      <c r="G41" s="5" t="s">
        <v>164</v>
      </c>
      <c r="H41" s="5" t="s">
        <v>66</v>
      </c>
      <c r="I41" s="5" t="s">
        <v>184</v>
      </c>
      <c r="J41" s="5" t="s">
        <v>185</v>
      </c>
      <c r="K41" s="14">
        <v>50</v>
      </c>
      <c r="L41" s="11"/>
      <c r="M41" s="11"/>
      <c r="N41" s="11"/>
      <c r="O41" s="12"/>
      <c r="P41" s="11" t="s">
        <v>68</v>
      </c>
      <c r="Q41" s="11" t="s">
        <v>69</v>
      </c>
      <c r="R41" s="11"/>
    </row>
    <row r="42" spans="1:18" ht="42" customHeight="1">
      <c r="A42" s="5" t="s">
        <v>186</v>
      </c>
      <c r="B42" s="3">
        <v>4</v>
      </c>
      <c r="C42" s="5" t="s">
        <v>164</v>
      </c>
      <c r="D42" s="5" t="s">
        <v>165</v>
      </c>
      <c r="E42" s="5" t="s">
        <v>180</v>
      </c>
      <c r="F42" s="5" t="s">
        <v>181</v>
      </c>
      <c r="G42" s="5" t="s">
        <v>164</v>
      </c>
      <c r="H42" s="5" t="s">
        <v>66</v>
      </c>
      <c r="I42" s="5" t="s">
        <v>187</v>
      </c>
      <c r="J42" s="5" t="s">
        <v>162</v>
      </c>
      <c r="K42" s="14">
        <v>80</v>
      </c>
      <c r="L42" s="11"/>
      <c r="M42" s="11"/>
      <c r="N42" s="11"/>
      <c r="O42" s="12"/>
      <c r="P42" s="11" t="s">
        <v>68</v>
      </c>
      <c r="Q42" s="11" t="s">
        <v>69</v>
      </c>
      <c r="R42" s="11"/>
    </row>
    <row r="43" spans="1:18" ht="42" customHeight="1">
      <c r="A43" s="5" t="s">
        <v>188</v>
      </c>
      <c r="B43" s="3">
        <v>4</v>
      </c>
      <c r="C43" s="5" t="s">
        <v>164</v>
      </c>
      <c r="D43" s="5" t="s">
        <v>165</v>
      </c>
      <c r="E43" s="5" t="s">
        <v>180</v>
      </c>
      <c r="F43" s="5" t="s">
        <v>181</v>
      </c>
      <c r="G43" s="5" t="s">
        <v>164</v>
      </c>
      <c r="H43" s="5" t="s">
        <v>66</v>
      </c>
      <c r="I43" s="5" t="s">
        <v>189</v>
      </c>
      <c r="J43" s="5" t="s">
        <v>190</v>
      </c>
      <c r="K43" s="14">
        <v>100</v>
      </c>
      <c r="L43" s="11"/>
      <c r="M43" s="11"/>
      <c r="N43" s="11"/>
      <c r="O43" s="12"/>
      <c r="P43" s="11" t="s">
        <v>68</v>
      </c>
      <c r="Q43" s="11" t="s">
        <v>69</v>
      </c>
      <c r="R43" s="11"/>
    </row>
    <row r="44" spans="1:18" ht="42" customHeight="1">
      <c r="A44" s="5" t="s">
        <v>191</v>
      </c>
      <c r="B44" s="3">
        <v>5</v>
      </c>
      <c r="C44" s="5" t="s">
        <v>192</v>
      </c>
      <c r="D44" s="5" t="s">
        <v>193</v>
      </c>
      <c r="E44" s="5" t="s">
        <v>194</v>
      </c>
      <c r="F44" s="5" t="s">
        <v>195</v>
      </c>
      <c r="G44" s="5" t="s">
        <v>192</v>
      </c>
      <c r="H44" s="5" t="s">
        <v>66</v>
      </c>
      <c r="I44" s="5" t="s">
        <v>196</v>
      </c>
      <c r="J44" s="5" t="s">
        <v>197</v>
      </c>
      <c r="K44" s="14">
        <v>25</v>
      </c>
      <c r="L44" s="11"/>
      <c r="M44" s="11"/>
      <c r="N44" s="11"/>
      <c r="O44" s="12"/>
      <c r="P44" s="11" t="s">
        <v>68</v>
      </c>
      <c r="Q44" s="11" t="s">
        <v>69</v>
      </c>
      <c r="R44" s="11"/>
    </row>
    <row r="45" spans="1:18" ht="42" customHeight="1">
      <c r="A45" s="5" t="s">
        <v>198</v>
      </c>
      <c r="B45" s="3">
        <v>5</v>
      </c>
      <c r="C45" s="5" t="s">
        <v>192</v>
      </c>
      <c r="D45" s="5" t="s">
        <v>193</v>
      </c>
      <c r="E45" s="5" t="s">
        <v>194</v>
      </c>
      <c r="F45" s="5" t="s">
        <v>195</v>
      </c>
      <c r="G45" s="5" t="s">
        <v>192</v>
      </c>
      <c r="H45" s="5" t="s">
        <v>66</v>
      </c>
      <c r="I45" s="5" t="s">
        <v>199</v>
      </c>
      <c r="J45" s="5" t="s">
        <v>200</v>
      </c>
      <c r="K45" s="14">
        <v>65</v>
      </c>
      <c r="L45" s="11"/>
      <c r="M45" s="11"/>
      <c r="N45" s="11"/>
      <c r="O45" s="12"/>
      <c r="P45" s="11" t="s">
        <v>68</v>
      </c>
      <c r="Q45" s="11" t="s">
        <v>69</v>
      </c>
      <c r="R45" s="11"/>
    </row>
    <row r="46" spans="1:18" ht="42" customHeight="1">
      <c r="A46" s="5" t="s">
        <v>201</v>
      </c>
      <c r="B46" s="3">
        <v>5</v>
      </c>
      <c r="C46" s="5" t="s">
        <v>192</v>
      </c>
      <c r="D46" s="5" t="s">
        <v>193</v>
      </c>
      <c r="E46" s="5" t="s">
        <v>194</v>
      </c>
      <c r="F46" s="5" t="s">
        <v>195</v>
      </c>
      <c r="G46" s="5" t="s">
        <v>192</v>
      </c>
      <c r="H46" s="5" t="s">
        <v>66</v>
      </c>
      <c r="I46" s="5" t="s">
        <v>202</v>
      </c>
      <c r="J46" s="5" t="s">
        <v>203</v>
      </c>
      <c r="K46" s="14">
        <v>100</v>
      </c>
      <c r="L46" s="11"/>
      <c r="M46" s="11"/>
      <c r="N46" s="11"/>
      <c r="O46" s="12"/>
      <c r="P46" s="11" t="s">
        <v>68</v>
      </c>
      <c r="Q46" s="11" t="s">
        <v>69</v>
      </c>
      <c r="R46" s="11"/>
    </row>
    <row r="47" spans="1:18" ht="42" customHeight="1">
      <c r="A47" s="5" t="s">
        <v>204</v>
      </c>
      <c r="B47" s="3">
        <v>5</v>
      </c>
      <c r="C47" s="5" t="s">
        <v>192</v>
      </c>
      <c r="D47" s="5" t="s">
        <v>193</v>
      </c>
      <c r="E47" s="5" t="s">
        <v>194</v>
      </c>
      <c r="F47" s="5" t="s">
        <v>195</v>
      </c>
      <c r="G47" s="5" t="s">
        <v>192</v>
      </c>
      <c r="H47" s="5" t="s">
        <v>66</v>
      </c>
      <c r="I47" s="5" t="s">
        <v>205</v>
      </c>
      <c r="J47" s="5" t="s">
        <v>206</v>
      </c>
      <c r="K47" s="14">
        <v>90</v>
      </c>
      <c r="L47" s="11"/>
      <c r="M47" s="11"/>
      <c r="N47" s="11"/>
      <c r="O47" s="12"/>
      <c r="P47" s="11" t="s">
        <v>68</v>
      </c>
      <c r="Q47" s="11" t="s">
        <v>69</v>
      </c>
      <c r="R47" s="11"/>
    </row>
    <row r="48" spans="1:18" ht="42" customHeight="1">
      <c r="A48" s="5" t="s">
        <v>207</v>
      </c>
      <c r="B48" s="3">
        <v>5</v>
      </c>
      <c r="C48" s="5" t="s">
        <v>192</v>
      </c>
      <c r="D48" s="5" t="s">
        <v>193</v>
      </c>
      <c r="E48" s="5" t="s">
        <v>208</v>
      </c>
      <c r="F48" s="5" t="s">
        <v>209</v>
      </c>
      <c r="G48" s="5" t="s">
        <v>192</v>
      </c>
      <c r="H48" s="5" t="s">
        <v>66</v>
      </c>
      <c r="I48" s="5" t="s">
        <v>151</v>
      </c>
      <c r="J48" s="5" t="s">
        <v>152</v>
      </c>
      <c r="K48" s="14">
        <v>20</v>
      </c>
      <c r="L48" s="11"/>
      <c r="M48" s="11"/>
      <c r="N48" s="11"/>
      <c r="O48" s="12"/>
      <c r="P48" s="11" t="s">
        <v>68</v>
      </c>
      <c r="Q48" s="11" t="s">
        <v>69</v>
      </c>
      <c r="R48" s="11"/>
    </row>
    <row r="49" spans="1:18" ht="42" customHeight="1">
      <c r="A49" s="5" t="s">
        <v>210</v>
      </c>
      <c r="B49" s="3">
        <v>5</v>
      </c>
      <c r="C49" s="5" t="s">
        <v>192</v>
      </c>
      <c r="D49" s="5" t="s">
        <v>193</v>
      </c>
      <c r="E49" s="5" t="s">
        <v>208</v>
      </c>
      <c r="F49" s="5" t="s">
        <v>209</v>
      </c>
      <c r="G49" s="5" t="s">
        <v>192</v>
      </c>
      <c r="H49" s="5" t="s">
        <v>66</v>
      </c>
      <c r="I49" s="5" t="s">
        <v>211</v>
      </c>
      <c r="J49" s="5" t="s">
        <v>146</v>
      </c>
      <c r="K49" s="14">
        <v>50</v>
      </c>
      <c r="L49" s="11"/>
      <c r="M49" s="11"/>
      <c r="N49" s="11"/>
      <c r="O49" s="12"/>
      <c r="P49" s="11" t="s">
        <v>68</v>
      </c>
      <c r="Q49" s="11" t="s">
        <v>69</v>
      </c>
      <c r="R49" s="11"/>
    </row>
    <row r="50" spans="1:18" ht="42" customHeight="1">
      <c r="A50" s="5" t="s">
        <v>212</v>
      </c>
      <c r="B50" s="3">
        <v>5</v>
      </c>
      <c r="C50" s="5" t="s">
        <v>192</v>
      </c>
      <c r="D50" s="5" t="s">
        <v>193</v>
      </c>
      <c r="E50" s="5" t="s">
        <v>208</v>
      </c>
      <c r="F50" s="5" t="s">
        <v>209</v>
      </c>
      <c r="G50" s="5" t="s">
        <v>192</v>
      </c>
      <c r="H50" s="5" t="s">
        <v>66</v>
      </c>
      <c r="I50" s="5" t="s">
        <v>213</v>
      </c>
      <c r="J50" s="5" t="s">
        <v>214</v>
      </c>
      <c r="K50" s="14">
        <v>80</v>
      </c>
      <c r="L50" s="11"/>
      <c r="M50" s="11"/>
      <c r="N50" s="11"/>
      <c r="O50" s="12"/>
      <c r="P50" s="11" t="s">
        <v>68</v>
      </c>
      <c r="Q50" s="11" t="s">
        <v>69</v>
      </c>
      <c r="R50" s="11"/>
    </row>
    <row r="51" spans="1:18" ht="42" customHeight="1">
      <c r="A51" s="5" t="s">
        <v>215</v>
      </c>
      <c r="B51" s="3">
        <v>5</v>
      </c>
      <c r="C51" s="5" t="s">
        <v>192</v>
      </c>
      <c r="D51" s="5" t="s">
        <v>193</v>
      </c>
      <c r="E51" s="5" t="s">
        <v>208</v>
      </c>
      <c r="F51" s="5" t="s">
        <v>209</v>
      </c>
      <c r="G51" s="5" t="s">
        <v>192</v>
      </c>
      <c r="H51" s="5" t="s">
        <v>66</v>
      </c>
      <c r="I51" s="5" t="s">
        <v>142</v>
      </c>
      <c r="J51" s="5" t="s">
        <v>143</v>
      </c>
      <c r="K51" s="14">
        <v>100</v>
      </c>
      <c r="L51" s="11"/>
      <c r="M51" s="11"/>
      <c r="N51" s="11"/>
      <c r="O51" s="12"/>
      <c r="P51" s="11" t="s">
        <v>68</v>
      </c>
      <c r="Q51" s="11" t="s">
        <v>69</v>
      </c>
      <c r="R51" s="11"/>
    </row>
    <row r="52" spans="1:18" ht="42" customHeight="1">
      <c r="A52" s="5" t="s">
        <v>216</v>
      </c>
      <c r="B52" s="3">
        <v>6</v>
      </c>
      <c r="C52" s="5" t="s">
        <v>217</v>
      </c>
      <c r="D52" s="5" t="s">
        <v>218</v>
      </c>
      <c r="E52" s="5" t="s">
        <v>219</v>
      </c>
      <c r="F52" s="5" t="s">
        <v>220</v>
      </c>
      <c r="G52" s="5" t="s">
        <v>221</v>
      </c>
      <c r="H52" s="5" t="s">
        <v>66</v>
      </c>
      <c r="I52" s="5" t="s">
        <v>182</v>
      </c>
      <c r="J52" s="5" t="s">
        <v>143</v>
      </c>
      <c r="K52" s="14">
        <v>30</v>
      </c>
      <c r="L52" s="11"/>
      <c r="M52" s="11"/>
      <c r="N52" s="11"/>
      <c r="O52" s="12"/>
      <c r="P52" s="11" t="s">
        <v>68</v>
      </c>
      <c r="Q52" s="11" t="s">
        <v>69</v>
      </c>
      <c r="R52" s="11"/>
    </row>
    <row r="53" spans="1:18" ht="42" customHeight="1">
      <c r="A53" s="5" t="s">
        <v>222</v>
      </c>
      <c r="B53" s="3">
        <v>6</v>
      </c>
      <c r="C53" s="5" t="s">
        <v>217</v>
      </c>
      <c r="D53" s="5" t="s">
        <v>218</v>
      </c>
      <c r="E53" s="5" t="s">
        <v>219</v>
      </c>
      <c r="F53" s="5" t="s">
        <v>220</v>
      </c>
      <c r="G53" s="5" t="s">
        <v>221</v>
      </c>
      <c r="H53" s="5" t="s">
        <v>66</v>
      </c>
      <c r="I53" s="5" t="s">
        <v>223</v>
      </c>
      <c r="J53" s="5" t="s">
        <v>224</v>
      </c>
      <c r="K53" s="14">
        <v>55</v>
      </c>
      <c r="L53" s="11"/>
      <c r="M53" s="11"/>
      <c r="N53" s="11"/>
      <c r="O53" s="12"/>
      <c r="P53" s="11" t="s">
        <v>68</v>
      </c>
      <c r="Q53" s="11" t="s">
        <v>69</v>
      </c>
      <c r="R53" s="11"/>
    </row>
    <row r="54" spans="1:18" ht="42" customHeight="1">
      <c r="A54" s="5" t="s">
        <v>225</v>
      </c>
      <c r="B54" s="3">
        <v>6</v>
      </c>
      <c r="C54" s="5" t="s">
        <v>217</v>
      </c>
      <c r="D54" s="5" t="s">
        <v>218</v>
      </c>
      <c r="E54" s="5" t="s">
        <v>219</v>
      </c>
      <c r="F54" s="5" t="s">
        <v>220</v>
      </c>
      <c r="G54" s="5" t="s">
        <v>221</v>
      </c>
      <c r="H54" s="5" t="s">
        <v>66</v>
      </c>
      <c r="I54" s="5" t="s">
        <v>148</v>
      </c>
      <c r="J54" s="5" t="s">
        <v>149</v>
      </c>
      <c r="K54" s="14">
        <v>85</v>
      </c>
      <c r="L54" s="11"/>
      <c r="M54" s="11"/>
      <c r="N54" s="11"/>
      <c r="O54" s="12"/>
      <c r="P54" s="11" t="s">
        <v>68</v>
      </c>
      <c r="Q54" s="11" t="s">
        <v>69</v>
      </c>
      <c r="R54" s="11"/>
    </row>
    <row r="55" spans="1:18" ht="42" customHeight="1">
      <c r="A55" s="5" t="s">
        <v>226</v>
      </c>
      <c r="B55" s="3">
        <v>6</v>
      </c>
      <c r="C55" s="5" t="s">
        <v>217</v>
      </c>
      <c r="D55" s="5" t="s">
        <v>218</v>
      </c>
      <c r="E55" s="5" t="s">
        <v>219</v>
      </c>
      <c r="F55" s="5" t="s">
        <v>220</v>
      </c>
      <c r="G55" s="5" t="s">
        <v>221</v>
      </c>
      <c r="H55" s="5" t="s">
        <v>66</v>
      </c>
      <c r="I55" s="5" t="s">
        <v>151</v>
      </c>
      <c r="J55" s="5" t="s">
        <v>152</v>
      </c>
      <c r="K55" s="14">
        <v>100</v>
      </c>
      <c r="L55" s="11"/>
      <c r="M55" s="11"/>
      <c r="N55" s="11"/>
      <c r="O55" s="12"/>
      <c r="P55" s="11" t="s">
        <v>68</v>
      </c>
      <c r="Q55" s="11" t="s">
        <v>69</v>
      </c>
      <c r="R55" s="11"/>
    </row>
    <row r="56" spans="1:18" ht="42" customHeight="1">
      <c r="A56" s="5" t="s">
        <v>227</v>
      </c>
      <c r="B56" s="3">
        <v>6</v>
      </c>
      <c r="C56" s="5" t="s">
        <v>217</v>
      </c>
      <c r="D56" s="5" t="s">
        <v>218</v>
      </c>
      <c r="E56" s="5" t="s">
        <v>228</v>
      </c>
      <c r="F56" s="5" t="s">
        <v>229</v>
      </c>
      <c r="G56" s="5" t="s">
        <v>221</v>
      </c>
      <c r="H56" s="5" t="s">
        <v>66</v>
      </c>
      <c r="I56" s="5" t="s">
        <v>148</v>
      </c>
      <c r="J56" s="5" t="s">
        <v>149</v>
      </c>
      <c r="K56" s="14">
        <v>25</v>
      </c>
      <c r="L56" s="11"/>
      <c r="M56" s="11"/>
      <c r="N56" s="11"/>
      <c r="O56" s="12"/>
      <c r="P56" s="11" t="s">
        <v>68</v>
      </c>
      <c r="Q56" s="11" t="s">
        <v>69</v>
      </c>
      <c r="R56" s="11"/>
    </row>
    <row r="57" spans="1:18" ht="42" customHeight="1">
      <c r="A57" s="5" t="s">
        <v>230</v>
      </c>
      <c r="B57" s="3">
        <v>6</v>
      </c>
      <c r="C57" s="5" t="s">
        <v>217</v>
      </c>
      <c r="D57" s="5" t="s">
        <v>218</v>
      </c>
      <c r="E57" s="5" t="s">
        <v>228</v>
      </c>
      <c r="F57" s="5" t="s">
        <v>229</v>
      </c>
      <c r="G57" s="5" t="s">
        <v>221</v>
      </c>
      <c r="H57" s="5" t="s">
        <v>66</v>
      </c>
      <c r="I57" s="5" t="s">
        <v>231</v>
      </c>
      <c r="J57" s="5" t="s">
        <v>232</v>
      </c>
      <c r="K57" s="14">
        <v>55</v>
      </c>
      <c r="L57" s="11"/>
      <c r="M57" s="11"/>
      <c r="N57" s="11"/>
      <c r="O57" s="12"/>
      <c r="P57" s="11" t="s">
        <v>68</v>
      </c>
      <c r="Q57" s="11" t="s">
        <v>69</v>
      </c>
      <c r="R57" s="11"/>
    </row>
    <row r="58" spans="1:18" ht="42" customHeight="1">
      <c r="A58" s="5" t="s">
        <v>233</v>
      </c>
      <c r="B58" s="3">
        <v>6</v>
      </c>
      <c r="C58" s="5" t="s">
        <v>217</v>
      </c>
      <c r="D58" s="5" t="s">
        <v>218</v>
      </c>
      <c r="E58" s="5" t="s">
        <v>228</v>
      </c>
      <c r="F58" s="5" t="s">
        <v>229</v>
      </c>
      <c r="G58" s="5" t="s">
        <v>221</v>
      </c>
      <c r="H58" s="5" t="s">
        <v>66</v>
      </c>
      <c r="I58" s="5" t="s">
        <v>213</v>
      </c>
      <c r="J58" s="5" t="s">
        <v>214</v>
      </c>
      <c r="K58" s="14">
        <v>80</v>
      </c>
      <c r="L58" s="11"/>
      <c r="M58" s="11"/>
      <c r="N58" s="11"/>
      <c r="O58" s="12"/>
      <c r="P58" s="11" t="s">
        <v>68</v>
      </c>
      <c r="Q58" s="11" t="s">
        <v>69</v>
      </c>
      <c r="R58" s="11"/>
    </row>
    <row r="59" spans="1:18" ht="42" customHeight="1">
      <c r="A59" s="5" t="s">
        <v>234</v>
      </c>
      <c r="B59" s="3">
        <v>6</v>
      </c>
      <c r="C59" s="5" t="s">
        <v>217</v>
      </c>
      <c r="D59" s="5" t="s">
        <v>218</v>
      </c>
      <c r="E59" s="5" t="s">
        <v>228</v>
      </c>
      <c r="F59" s="5" t="s">
        <v>229</v>
      </c>
      <c r="G59" s="5" t="s">
        <v>221</v>
      </c>
      <c r="H59" s="5" t="s">
        <v>66</v>
      </c>
      <c r="I59" s="5" t="s">
        <v>142</v>
      </c>
      <c r="J59" s="5" t="s">
        <v>143</v>
      </c>
      <c r="K59" s="14">
        <v>100</v>
      </c>
      <c r="L59" s="11"/>
      <c r="M59" s="11"/>
      <c r="N59" s="11"/>
      <c r="O59" s="12"/>
      <c r="P59" s="11" t="s">
        <v>68</v>
      </c>
      <c r="Q59" s="11" t="s">
        <v>69</v>
      </c>
      <c r="R59" s="11"/>
    </row>
    <row r="60" spans="1:18" ht="42" customHeight="1">
      <c r="A60" s="5" t="s">
        <v>235</v>
      </c>
      <c r="B60" s="3">
        <v>6</v>
      </c>
      <c r="C60" s="5" t="s">
        <v>217</v>
      </c>
      <c r="D60" s="5" t="s">
        <v>218</v>
      </c>
      <c r="E60" s="5" t="s">
        <v>236</v>
      </c>
      <c r="F60" s="5" t="s">
        <v>237</v>
      </c>
      <c r="G60" s="5" t="s">
        <v>221</v>
      </c>
      <c r="H60" s="5" t="s">
        <v>66</v>
      </c>
      <c r="I60" s="5" t="s">
        <v>182</v>
      </c>
      <c r="J60" s="5" t="s">
        <v>143</v>
      </c>
      <c r="K60" s="14">
        <v>35</v>
      </c>
      <c r="L60" s="11"/>
      <c r="M60" s="11"/>
      <c r="N60" s="11"/>
      <c r="O60" s="12"/>
      <c r="P60" s="11" t="s">
        <v>68</v>
      </c>
      <c r="Q60" s="11" t="s">
        <v>69</v>
      </c>
      <c r="R60" s="11"/>
    </row>
    <row r="61" spans="1:18" ht="42" customHeight="1">
      <c r="A61" s="5" t="s">
        <v>238</v>
      </c>
      <c r="B61" s="3">
        <v>6</v>
      </c>
      <c r="C61" s="5" t="s">
        <v>217</v>
      </c>
      <c r="D61" s="5" t="s">
        <v>218</v>
      </c>
      <c r="E61" s="5" t="s">
        <v>236</v>
      </c>
      <c r="F61" s="5" t="s">
        <v>237</v>
      </c>
      <c r="G61" s="5" t="s">
        <v>221</v>
      </c>
      <c r="H61" s="5" t="s">
        <v>66</v>
      </c>
      <c r="I61" s="5" t="s">
        <v>184</v>
      </c>
      <c r="J61" s="5" t="s">
        <v>185</v>
      </c>
      <c r="K61" s="14">
        <v>60</v>
      </c>
      <c r="L61" s="11"/>
      <c r="M61" s="11"/>
      <c r="N61" s="11"/>
      <c r="O61" s="12"/>
      <c r="P61" s="11" t="s">
        <v>68</v>
      </c>
      <c r="Q61" s="11" t="s">
        <v>69</v>
      </c>
      <c r="R61" s="11"/>
    </row>
    <row r="62" spans="1:18" ht="42" customHeight="1">
      <c r="A62" s="5" t="s">
        <v>239</v>
      </c>
      <c r="B62" s="3">
        <v>6</v>
      </c>
      <c r="C62" s="5" t="s">
        <v>217</v>
      </c>
      <c r="D62" s="5" t="s">
        <v>218</v>
      </c>
      <c r="E62" s="5" t="s">
        <v>236</v>
      </c>
      <c r="F62" s="5" t="s">
        <v>237</v>
      </c>
      <c r="G62" s="5" t="s">
        <v>221</v>
      </c>
      <c r="H62" s="5" t="s">
        <v>66</v>
      </c>
      <c r="I62" s="5" t="s">
        <v>187</v>
      </c>
      <c r="J62" s="5" t="s">
        <v>162</v>
      </c>
      <c r="K62" s="14">
        <v>85</v>
      </c>
      <c r="L62" s="11"/>
      <c r="M62" s="11"/>
      <c r="N62" s="11"/>
      <c r="O62" s="12"/>
      <c r="P62" s="11" t="s">
        <v>68</v>
      </c>
      <c r="Q62" s="11" t="s">
        <v>69</v>
      </c>
      <c r="R62" s="11"/>
    </row>
    <row r="63" spans="1:18" ht="42" customHeight="1">
      <c r="A63" s="5" t="s">
        <v>240</v>
      </c>
      <c r="B63" s="3">
        <v>6</v>
      </c>
      <c r="C63" s="5" t="s">
        <v>217</v>
      </c>
      <c r="D63" s="5" t="s">
        <v>218</v>
      </c>
      <c r="E63" s="5" t="s">
        <v>236</v>
      </c>
      <c r="F63" s="5" t="s">
        <v>237</v>
      </c>
      <c r="G63" s="5" t="s">
        <v>221</v>
      </c>
      <c r="H63" s="5" t="s">
        <v>66</v>
      </c>
      <c r="I63" s="5" t="s">
        <v>189</v>
      </c>
      <c r="J63" s="5" t="s">
        <v>190</v>
      </c>
      <c r="K63" s="14">
        <v>100</v>
      </c>
      <c r="L63" s="11"/>
      <c r="M63" s="11"/>
      <c r="N63" s="11"/>
      <c r="O63" s="12"/>
      <c r="P63" s="11" t="s">
        <v>68</v>
      </c>
      <c r="Q63" s="11" t="s">
        <v>69</v>
      </c>
      <c r="R63" s="11"/>
    </row>
    <row r="64" spans="1:18" ht="42" customHeight="1">
      <c r="A64" s="5" t="s">
        <v>241</v>
      </c>
      <c r="B64" s="3">
        <v>7</v>
      </c>
      <c r="C64" s="5" t="s">
        <v>242</v>
      </c>
      <c r="D64" s="5" t="s">
        <v>243</v>
      </c>
      <c r="E64" s="5" t="s">
        <v>244</v>
      </c>
      <c r="F64" s="5" t="s">
        <v>245</v>
      </c>
      <c r="G64" s="5" t="s">
        <v>242</v>
      </c>
      <c r="H64" s="5" t="s">
        <v>66</v>
      </c>
      <c r="I64" s="5" t="s">
        <v>246</v>
      </c>
      <c r="J64" s="5" t="s">
        <v>247</v>
      </c>
      <c r="K64" s="14">
        <v>15</v>
      </c>
      <c r="L64" s="11"/>
      <c r="M64" s="11"/>
      <c r="N64" s="11"/>
      <c r="O64" s="12"/>
      <c r="P64" s="11" t="s">
        <v>68</v>
      </c>
      <c r="Q64" s="11" t="s">
        <v>69</v>
      </c>
      <c r="R64" s="11"/>
    </row>
    <row r="65" spans="1:18" ht="42" customHeight="1">
      <c r="A65" s="5" t="s">
        <v>248</v>
      </c>
      <c r="B65" s="3">
        <v>7</v>
      </c>
      <c r="C65" s="5" t="s">
        <v>242</v>
      </c>
      <c r="D65" s="5" t="s">
        <v>243</v>
      </c>
      <c r="E65" s="5" t="s">
        <v>244</v>
      </c>
      <c r="F65" s="5" t="s">
        <v>245</v>
      </c>
      <c r="G65" s="5" t="s">
        <v>242</v>
      </c>
      <c r="H65" s="5" t="s">
        <v>66</v>
      </c>
      <c r="I65" s="5" t="s">
        <v>249</v>
      </c>
      <c r="J65" s="5" t="s">
        <v>250</v>
      </c>
      <c r="K65" s="14">
        <v>50</v>
      </c>
      <c r="L65" s="11"/>
      <c r="M65" s="11"/>
      <c r="N65" s="11"/>
      <c r="O65" s="12"/>
      <c r="P65" s="11" t="s">
        <v>68</v>
      </c>
      <c r="Q65" s="11" t="s">
        <v>69</v>
      </c>
      <c r="R65" s="11"/>
    </row>
    <row r="66" spans="1:18" ht="42" customHeight="1">
      <c r="A66" s="5" t="s">
        <v>251</v>
      </c>
      <c r="B66" s="3">
        <v>7</v>
      </c>
      <c r="C66" s="5" t="s">
        <v>242</v>
      </c>
      <c r="D66" s="5" t="s">
        <v>243</v>
      </c>
      <c r="E66" s="5" t="s">
        <v>244</v>
      </c>
      <c r="F66" s="5" t="s">
        <v>245</v>
      </c>
      <c r="G66" s="5" t="s">
        <v>242</v>
      </c>
      <c r="H66" s="5" t="s">
        <v>66</v>
      </c>
      <c r="I66" s="5" t="s">
        <v>252</v>
      </c>
      <c r="J66" s="5" t="s">
        <v>253</v>
      </c>
      <c r="K66" s="14">
        <v>85</v>
      </c>
      <c r="L66" s="11"/>
      <c r="M66" s="11"/>
      <c r="N66" s="11"/>
      <c r="O66" s="12"/>
      <c r="P66" s="11" t="s">
        <v>68</v>
      </c>
      <c r="Q66" s="11" t="s">
        <v>69</v>
      </c>
      <c r="R66" s="11"/>
    </row>
    <row r="67" spans="1:18" ht="42" customHeight="1">
      <c r="A67" s="5" t="s">
        <v>254</v>
      </c>
      <c r="B67" s="3">
        <v>7</v>
      </c>
      <c r="C67" s="5" t="s">
        <v>242</v>
      </c>
      <c r="D67" s="5" t="s">
        <v>243</v>
      </c>
      <c r="E67" s="5" t="s">
        <v>244</v>
      </c>
      <c r="F67" s="5" t="s">
        <v>245</v>
      </c>
      <c r="G67" s="5" t="s">
        <v>242</v>
      </c>
      <c r="H67" s="5" t="s">
        <v>66</v>
      </c>
      <c r="I67" s="5" t="s">
        <v>255</v>
      </c>
      <c r="J67" s="5" t="s">
        <v>256</v>
      </c>
      <c r="K67" s="14">
        <v>100</v>
      </c>
      <c r="L67" s="11"/>
      <c r="M67" s="11"/>
      <c r="N67" s="11"/>
      <c r="O67" s="12"/>
      <c r="P67" s="11" t="s">
        <v>68</v>
      </c>
      <c r="Q67" s="11" t="s">
        <v>69</v>
      </c>
      <c r="R67" s="11"/>
    </row>
    <row r="68" spans="1:18" ht="42" customHeight="1">
      <c r="A68" s="5" t="s">
        <v>257</v>
      </c>
      <c r="B68" s="3">
        <v>7</v>
      </c>
      <c r="C68" s="5" t="s">
        <v>242</v>
      </c>
      <c r="D68" s="5" t="s">
        <v>243</v>
      </c>
      <c r="E68" s="5" t="s">
        <v>258</v>
      </c>
      <c r="F68" s="5" t="s">
        <v>259</v>
      </c>
      <c r="G68" s="5" t="s">
        <v>242</v>
      </c>
      <c r="H68" s="5" t="s">
        <v>66</v>
      </c>
      <c r="I68" s="5" t="s">
        <v>260</v>
      </c>
      <c r="J68" s="5" t="s">
        <v>261</v>
      </c>
      <c r="K68" s="14">
        <v>25</v>
      </c>
      <c r="L68" s="11"/>
      <c r="M68" s="11"/>
      <c r="N68" s="11"/>
      <c r="O68" s="12"/>
      <c r="P68" s="11" t="s">
        <v>68</v>
      </c>
      <c r="Q68" s="11" t="s">
        <v>69</v>
      </c>
      <c r="R68" s="11"/>
    </row>
    <row r="69" spans="1:18" ht="42" customHeight="1">
      <c r="A69" s="5" t="s">
        <v>262</v>
      </c>
      <c r="B69" s="3">
        <v>7</v>
      </c>
      <c r="C69" s="5" t="s">
        <v>242</v>
      </c>
      <c r="D69" s="5" t="s">
        <v>243</v>
      </c>
      <c r="E69" s="5" t="s">
        <v>258</v>
      </c>
      <c r="F69" s="5" t="s">
        <v>259</v>
      </c>
      <c r="G69" s="5" t="s">
        <v>242</v>
      </c>
      <c r="H69" s="5" t="s">
        <v>66</v>
      </c>
      <c r="I69" s="5" t="s">
        <v>263</v>
      </c>
      <c r="J69" s="5" t="s">
        <v>264</v>
      </c>
      <c r="K69" s="14">
        <v>55</v>
      </c>
      <c r="L69" s="11"/>
      <c r="M69" s="11"/>
      <c r="N69" s="11"/>
      <c r="O69" s="12"/>
      <c r="P69" s="11" t="s">
        <v>68</v>
      </c>
      <c r="Q69" s="11" t="s">
        <v>69</v>
      </c>
      <c r="R69" s="11"/>
    </row>
    <row r="70" spans="1:18" ht="42" customHeight="1">
      <c r="A70" s="5" t="s">
        <v>265</v>
      </c>
      <c r="B70" s="3">
        <v>7</v>
      </c>
      <c r="C70" s="5" t="s">
        <v>242</v>
      </c>
      <c r="D70" s="5" t="s">
        <v>243</v>
      </c>
      <c r="E70" s="5" t="s">
        <v>258</v>
      </c>
      <c r="F70" s="5" t="s">
        <v>259</v>
      </c>
      <c r="G70" s="5" t="s">
        <v>242</v>
      </c>
      <c r="H70" s="5" t="s">
        <v>66</v>
      </c>
      <c r="I70" s="5" t="s">
        <v>266</v>
      </c>
      <c r="J70" s="5" t="s">
        <v>267</v>
      </c>
      <c r="K70" s="14">
        <v>85</v>
      </c>
      <c r="L70" s="11"/>
      <c r="M70" s="11"/>
      <c r="N70" s="11"/>
      <c r="O70" s="12"/>
      <c r="P70" s="11" t="s">
        <v>68</v>
      </c>
      <c r="Q70" s="11" t="s">
        <v>69</v>
      </c>
      <c r="R70" s="11"/>
    </row>
    <row r="71" spans="1:18" ht="42" customHeight="1">
      <c r="A71" s="5" t="s">
        <v>268</v>
      </c>
      <c r="B71" s="3">
        <v>7</v>
      </c>
      <c r="C71" s="5" t="s">
        <v>242</v>
      </c>
      <c r="D71" s="5" t="s">
        <v>243</v>
      </c>
      <c r="E71" s="5" t="s">
        <v>258</v>
      </c>
      <c r="F71" s="5" t="s">
        <v>259</v>
      </c>
      <c r="G71" s="5" t="s">
        <v>242</v>
      </c>
      <c r="H71" s="5" t="s">
        <v>66</v>
      </c>
      <c r="I71" s="5" t="s">
        <v>269</v>
      </c>
      <c r="J71" s="5" t="s">
        <v>270</v>
      </c>
      <c r="K71" s="14">
        <v>100</v>
      </c>
      <c r="L71" s="11"/>
      <c r="M71" s="11"/>
      <c r="N71" s="11"/>
      <c r="O71" s="12"/>
      <c r="P71" s="11" t="s">
        <v>68</v>
      </c>
      <c r="Q71" s="11" t="s">
        <v>69</v>
      </c>
      <c r="R71" s="11"/>
    </row>
  </sheetData>
  <mergeCells count="2">
    <mergeCell ref="A1:R1"/>
    <mergeCell ref="A2:R3"/>
  </mergeCells>
  <dataValidations count="3">
    <dataValidation type="list" sqref="P5:P71" xr:uid="{00000000-0002-0000-0100-000000000000}">
      <formula1>"Keep,Revise,Remove,Discuss"</formula1>
    </dataValidation>
    <dataValidation type="list" sqref="Q5:Q71" xr:uid="{00000000-0002-0000-0100-000001000000}">
      <formula1>"Not reviewed,Needs changes,Approved,Clinical concern"</formula1>
    </dataValidation>
    <dataValidation type="list" sqref="H5:H71" xr:uid="{00000000-0002-0000-0100-000002000000}">
      <formula1>"Required,Optional"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
  <sheetViews>
    <sheetView showGridLines="0" topLeftCell="A25" workbookViewId="0">
      <selection sqref="A1:J1"/>
    </sheetView>
  </sheetViews>
  <sheetFormatPr defaultRowHeight="13.8"/>
  <cols>
    <col min="1" max="1" width="18" customWidth="1"/>
    <col min="2" max="2" width="24" customWidth="1"/>
    <col min="3" max="3" width="28" customWidth="1"/>
    <col min="4" max="4" width="45" customWidth="1"/>
    <col min="5" max="5" width="22" customWidth="1"/>
    <col min="6" max="6" width="36" customWidth="1"/>
    <col min="7" max="7" width="34" customWidth="1"/>
    <col min="8" max="8" width="30" customWidth="1"/>
    <col min="9" max="9" width="34" customWidth="1"/>
    <col min="10" max="10" width="20" customWidth="1"/>
  </cols>
  <sheetData>
    <row r="1" spans="1:10" ht="34.049999999999997" customHeight="1">
      <c r="A1" s="17" t="s">
        <v>18</v>
      </c>
      <c r="B1" s="17"/>
      <c r="C1" s="17"/>
      <c r="D1" s="17"/>
      <c r="E1" s="17"/>
      <c r="F1" s="17"/>
      <c r="G1" s="17"/>
      <c r="H1" s="17"/>
      <c r="I1" s="17"/>
      <c r="J1" s="17"/>
    </row>
    <row r="2" spans="1:10" ht="28.05" customHeight="1">
      <c r="A2" s="18" t="s">
        <v>271</v>
      </c>
      <c r="B2" s="18"/>
      <c r="C2" s="18"/>
      <c r="D2" s="18"/>
      <c r="E2" s="18"/>
      <c r="F2" s="18"/>
      <c r="G2" s="18"/>
      <c r="H2" s="18"/>
      <c r="I2" s="18"/>
      <c r="J2" s="18"/>
    </row>
    <row r="3" spans="1:10" ht="28.05" customHeight="1">
      <c r="A3" s="18"/>
      <c r="B3" s="18"/>
      <c r="C3" s="18"/>
      <c r="D3" s="18"/>
      <c r="E3" s="18"/>
      <c r="F3" s="18"/>
      <c r="G3" s="18"/>
      <c r="H3" s="18"/>
      <c r="I3" s="18"/>
      <c r="J3" s="18"/>
    </row>
    <row r="4" spans="1:10" ht="24" customHeight="1">
      <c r="A4" s="19" t="s">
        <v>272</v>
      </c>
      <c r="B4" s="19"/>
      <c r="C4" s="19"/>
      <c r="D4" s="19"/>
      <c r="E4" s="1"/>
      <c r="F4" s="1"/>
      <c r="G4" s="1"/>
      <c r="H4" s="1"/>
      <c r="I4" s="1"/>
      <c r="J4" s="1"/>
    </row>
    <row r="5" spans="1:10" ht="34.049999999999997" customHeight="1">
      <c r="A5" s="4" t="s">
        <v>273</v>
      </c>
      <c r="B5" s="4" t="s">
        <v>274</v>
      </c>
      <c r="C5" s="4" t="s">
        <v>275</v>
      </c>
      <c r="D5" s="4" t="s">
        <v>276</v>
      </c>
      <c r="E5" s="1"/>
      <c r="F5" s="1"/>
      <c r="G5" s="1"/>
      <c r="H5" s="1"/>
      <c r="I5" s="1"/>
      <c r="J5" s="1"/>
    </row>
    <row r="6" spans="1:10" ht="14.4">
      <c r="A6" s="5">
        <v>80</v>
      </c>
      <c r="B6" s="5">
        <v>100</v>
      </c>
      <c r="C6" s="5" t="s">
        <v>277</v>
      </c>
      <c r="D6" s="5" t="s">
        <v>278</v>
      </c>
      <c r="E6" s="1"/>
      <c r="F6" s="1"/>
      <c r="G6" s="1"/>
      <c r="H6" s="1"/>
      <c r="I6" s="1"/>
      <c r="J6" s="1"/>
    </row>
    <row r="7" spans="1:10" ht="14.4">
      <c r="A7" s="5">
        <v>60</v>
      </c>
      <c r="B7" s="5">
        <v>79</v>
      </c>
      <c r="C7" s="5" t="s">
        <v>279</v>
      </c>
      <c r="D7" s="5" t="s">
        <v>278</v>
      </c>
      <c r="E7" s="1"/>
      <c r="F7" s="1"/>
      <c r="G7" s="1"/>
      <c r="H7" s="1"/>
      <c r="I7" s="1"/>
      <c r="J7" s="1"/>
    </row>
    <row r="8" spans="1:10" ht="14.4">
      <c r="A8" s="5">
        <v>40</v>
      </c>
      <c r="B8" s="5">
        <v>59</v>
      </c>
      <c r="C8" s="5" t="s">
        <v>280</v>
      </c>
      <c r="D8" s="5" t="s">
        <v>278</v>
      </c>
      <c r="E8" s="1"/>
      <c r="F8" s="1"/>
      <c r="G8" s="1"/>
      <c r="H8" s="1"/>
      <c r="I8" s="1"/>
      <c r="J8" s="1"/>
    </row>
    <row r="9" spans="1:10" ht="14.4">
      <c r="A9" s="5">
        <v>0</v>
      </c>
      <c r="B9" s="5">
        <v>39</v>
      </c>
      <c r="C9" s="5" t="s">
        <v>281</v>
      </c>
      <c r="D9" s="5" t="s">
        <v>278</v>
      </c>
      <c r="E9" s="1"/>
      <c r="F9" s="1"/>
      <c r="G9" s="1"/>
      <c r="H9" s="1"/>
      <c r="I9" s="1"/>
      <c r="J9" s="1"/>
    </row>
    <row r="10" spans="1:10" ht="14.4">
      <c r="A10" s="1"/>
      <c r="B10" s="1"/>
      <c r="C10" s="1"/>
      <c r="D10" s="1"/>
      <c r="E10" s="1"/>
      <c r="F10" s="1"/>
      <c r="G10" s="1"/>
      <c r="H10" s="1"/>
      <c r="I10" s="1"/>
      <c r="J10" s="1"/>
    </row>
    <row r="11" spans="1:10" ht="24" customHeight="1">
      <c r="A11" s="19" t="s">
        <v>282</v>
      </c>
      <c r="B11" s="19"/>
      <c r="C11" s="19"/>
      <c r="D11" s="19"/>
      <c r="E11" s="19"/>
      <c r="F11" s="19"/>
      <c r="G11" s="19"/>
      <c r="H11" s="19"/>
      <c r="I11" s="19"/>
      <c r="J11" s="19"/>
    </row>
    <row r="12" spans="1:10" ht="34.049999999999997" customHeight="1">
      <c r="A12" s="4" t="s">
        <v>283</v>
      </c>
      <c r="B12" s="4" t="s">
        <v>284</v>
      </c>
      <c r="C12" s="4" t="s">
        <v>8</v>
      </c>
      <c r="D12" s="4" t="s">
        <v>285</v>
      </c>
      <c r="E12" s="4" t="s">
        <v>286</v>
      </c>
      <c r="F12" s="4" t="s">
        <v>287</v>
      </c>
      <c r="G12" s="4" t="s">
        <v>288</v>
      </c>
      <c r="H12" s="4" t="s">
        <v>289</v>
      </c>
      <c r="I12" s="4" t="s">
        <v>290</v>
      </c>
      <c r="J12" s="4" t="s">
        <v>291</v>
      </c>
    </row>
    <row r="13" spans="1:10" ht="66" customHeight="1">
      <c r="A13" s="5" t="s">
        <v>141</v>
      </c>
      <c r="B13" s="5" t="s">
        <v>292</v>
      </c>
      <c r="C13" s="5" t="s">
        <v>293</v>
      </c>
      <c r="D13" s="5" t="s">
        <v>294</v>
      </c>
      <c r="E13" s="5" t="s">
        <v>294</v>
      </c>
      <c r="F13" s="5">
        <v>70</v>
      </c>
      <c r="G13" s="5" t="s">
        <v>295</v>
      </c>
      <c r="H13" s="5" t="s">
        <v>296</v>
      </c>
      <c r="I13" s="11"/>
      <c r="J13" s="11" t="s">
        <v>69</v>
      </c>
    </row>
    <row r="14" spans="1:10" ht="66" customHeight="1">
      <c r="A14" s="5" t="s">
        <v>164</v>
      </c>
      <c r="B14" s="5" t="s">
        <v>297</v>
      </c>
      <c r="C14" s="5" t="s">
        <v>298</v>
      </c>
      <c r="D14" s="5" t="s">
        <v>294</v>
      </c>
      <c r="E14" s="5" t="s">
        <v>294</v>
      </c>
      <c r="F14" s="5">
        <v>70</v>
      </c>
      <c r="G14" s="5" t="s">
        <v>299</v>
      </c>
      <c r="H14" s="5" t="s">
        <v>300</v>
      </c>
      <c r="I14" s="11"/>
      <c r="J14" s="11" t="s">
        <v>69</v>
      </c>
    </row>
    <row r="15" spans="1:10" ht="66" customHeight="1">
      <c r="A15" s="5" t="s">
        <v>118</v>
      </c>
      <c r="B15" s="5" t="s">
        <v>301</v>
      </c>
      <c r="C15" s="5" t="s">
        <v>302</v>
      </c>
      <c r="D15" s="5" t="s">
        <v>294</v>
      </c>
      <c r="E15" s="5" t="s">
        <v>294</v>
      </c>
      <c r="F15" s="5">
        <v>70</v>
      </c>
      <c r="G15" s="5" t="s">
        <v>303</v>
      </c>
      <c r="H15" s="5" t="s">
        <v>304</v>
      </c>
      <c r="I15" s="11"/>
      <c r="J15" s="11" t="s">
        <v>69</v>
      </c>
    </row>
    <row r="16" spans="1:10" ht="66" customHeight="1">
      <c r="A16" s="5" t="s">
        <v>192</v>
      </c>
      <c r="B16" s="5" t="s">
        <v>305</v>
      </c>
      <c r="C16" s="5" t="s">
        <v>306</v>
      </c>
      <c r="D16" s="5" t="s">
        <v>294</v>
      </c>
      <c r="E16" s="5" t="s">
        <v>294</v>
      </c>
      <c r="F16" s="5">
        <v>70</v>
      </c>
      <c r="G16" s="5" t="s">
        <v>307</v>
      </c>
      <c r="H16" s="5" t="s">
        <v>308</v>
      </c>
      <c r="I16" s="11"/>
      <c r="J16" s="11" t="s">
        <v>69</v>
      </c>
    </row>
    <row r="17" spans="1:10" ht="66" customHeight="1">
      <c r="A17" s="5" t="s">
        <v>242</v>
      </c>
      <c r="B17" s="5" t="s">
        <v>309</v>
      </c>
      <c r="C17" s="5" t="s">
        <v>310</v>
      </c>
      <c r="D17" s="5" t="s">
        <v>294</v>
      </c>
      <c r="E17" s="5" t="s">
        <v>294</v>
      </c>
      <c r="F17" s="5">
        <v>70</v>
      </c>
      <c r="G17" s="5" t="s">
        <v>311</v>
      </c>
      <c r="H17" s="5" t="s">
        <v>312</v>
      </c>
      <c r="I17" s="11"/>
      <c r="J17" s="11" t="s">
        <v>69</v>
      </c>
    </row>
    <row r="18" spans="1:10" ht="66" customHeight="1">
      <c r="A18" s="5" t="s">
        <v>221</v>
      </c>
      <c r="B18" s="5" t="s">
        <v>313</v>
      </c>
      <c r="C18" s="5" t="s">
        <v>314</v>
      </c>
      <c r="D18" s="5" t="s">
        <v>315</v>
      </c>
      <c r="E18" s="5" t="s">
        <v>315</v>
      </c>
      <c r="F18" s="5">
        <v>70</v>
      </c>
      <c r="G18" s="5" t="s">
        <v>316</v>
      </c>
      <c r="H18" s="5" t="s">
        <v>317</v>
      </c>
      <c r="I18" s="11"/>
      <c r="J18" s="11" t="s">
        <v>69</v>
      </c>
    </row>
    <row r="19" spans="1:10" ht="14.4">
      <c r="A19" s="1"/>
      <c r="B19" s="1"/>
      <c r="C19" s="1"/>
      <c r="D19" s="1"/>
      <c r="E19" s="1"/>
      <c r="F19" s="1"/>
      <c r="G19" s="1"/>
      <c r="H19" s="1"/>
      <c r="I19" s="1"/>
      <c r="J19" s="1"/>
    </row>
    <row r="20" spans="1:10" ht="24" customHeight="1">
      <c r="A20" s="19" t="s">
        <v>318</v>
      </c>
      <c r="B20" s="19"/>
      <c r="C20" s="19"/>
      <c r="D20" s="19"/>
      <c r="E20" s="19"/>
      <c r="F20" s="19"/>
      <c r="G20" s="19"/>
      <c r="H20" s="19"/>
      <c r="I20" s="19"/>
      <c r="J20" s="19"/>
    </row>
    <row r="21" spans="1:10" ht="34.049999999999997" customHeight="1">
      <c r="A21" s="4" t="s">
        <v>319</v>
      </c>
      <c r="B21" s="39" t="s">
        <v>320</v>
      </c>
      <c r="C21" s="39" t="s">
        <v>321</v>
      </c>
      <c r="D21" s="39"/>
      <c r="E21" s="39"/>
      <c r="F21" s="39"/>
      <c r="G21" s="39"/>
      <c r="H21" s="39"/>
      <c r="I21" s="39"/>
      <c r="J21" s="39"/>
    </row>
    <row r="22" spans="1:10" ht="42" customHeight="1">
      <c r="A22" s="5" t="s">
        <v>322</v>
      </c>
      <c r="B22" s="38" t="s">
        <v>323</v>
      </c>
      <c r="C22" s="38"/>
      <c r="D22" s="38"/>
      <c r="E22" s="38"/>
      <c r="F22" s="38"/>
      <c r="G22" s="40"/>
      <c r="H22" s="40"/>
      <c r="I22" s="40"/>
      <c r="J22" s="40"/>
    </row>
    <row r="23" spans="1:10" ht="42" customHeight="1">
      <c r="A23" s="5" t="s">
        <v>324</v>
      </c>
      <c r="B23" s="38" t="s">
        <v>325</v>
      </c>
      <c r="C23" s="38"/>
      <c r="D23" s="38"/>
      <c r="E23" s="38"/>
      <c r="F23" s="38"/>
      <c r="G23" s="40"/>
      <c r="H23" s="40"/>
      <c r="I23" s="40"/>
      <c r="J23" s="40"/>
    </row>
    <row r="24" spans="1:10" ht="42" customHeight="1">
      <c r="A24" s="5" t="s">
        <v>326</v>
      </c>
      <c r="B24" s="38" t="s">
        <v>327</v>
      </c>
      <c r="C24" s="38"/>
      <c r="D24" s="38"/>
      <c r="E24" s="38"/>
      <c r="F24" s="38"/>
      <c r="G24" s="40"/>
      <c r="H24" s="40"/>
      <c r="I24" s="40"/>
      <c r="J24" s="40"/>
    </row>
    <row r="25" spans="1:10" ht="14.4">
      <c r="A25" s="1"/>
      <c r="B25" s="1"/>
      <c r="C25" s="1"/>
      <c r="D25" s="1"/>
      <c r="E25" s="1"/>
      <c r="F25" s="1"/>
      <c r="G25" s="1"/>
      <c r="H25" s="1"/>
      <c r="I25" s="1"/>
      <c r="J25" s="1"/>
    </row>
    <row r="26" spans="1:10" ht="24" customHeight="1">
      <c r="A26" s="19" t="s">
        <v>328</v>
      </c>
      <c r="B26" s="19"/>
      <c r="C26" s="19"/>
      <c r="D26" s="19"/>
      <c r="E26" s="19"/>
      <c r="F26" s="19"/>
      <c r="G26" s="19"/>
      <c r="H26" s="19"/>
      <c r="I26" s="19"/>
      <c r="J26" s="19"/>
    </row>
    <row r="27" spans="1:10" ht="34.049999999999997" customHeight="1">
      <c r="A27" s="4" t="s">
        <v>329</v>
      </c>
      <c r="B27" s="4" t="s">
        <v>48</v>
      </c>
      <c r="C27" s="4" t="s">
        <v>330</v>
      </c>
      <c r="D27" s="4" t="s">
        <v>331</v>
      </c>
      <c r="E27" s="4" t="s">
        <v>332</v>
      </c>
      <c r="F27" s="4" t="s">
        <v>333</v>
      </c>
      <c r="G27" s="4" t="s">
        <v>334</v>
      </c>
      <c r="H27" s="4" t="s">
        <v>56</v>
      </c>
      <c r="I27" s="4" t="s">
        <v>335</v>
      </c>
      <c r="J27" s="4" t="s">
        <v>291</v>
      </c>
    </row>
    <row r="28" spans="1:10" ht="54" customHeight="1">
      <c r="A28" s="5">
        <v>1</v>
      </c>
      <c r="B28" s="5" t="s">
        <v>118</v>
      </c>
      <c r="C28" s="5" t="s">
        <v>336</v>
      </c>
      <c r="D28" s="5" t="s">
        <v>337</v>
      </c>
      <c r="E28" s="5" t="s">
        <v>338</v>
      </c>
      <c r="F28" s="5" t="s">
        <v>339</v>
      </c>
      <c r="G28" s="11"/>
      <c r="H28" s="12"/>
      <c r="I28" s="11"/>
      <c r="J28" s="11" t="s">
        <v>69</v>
      </c>
    </row>
    <row r="29" spans="1:10" ht="54" customHeight="1">
      <c r="A29" s="5">
        <v>2</v>
      </c>
      <c r="B29" s="5" t="s">
        <v>141</v>
      </c>
      <c r="C29" s="5" t="s">
        <v>336</v>
      </c>
      <c r="D29" s="5" t="s">
        <v>340</v>
      </c>
      <c r="E29" s="5" t="s">
        <v>338</v>
      </c>
      <c r="F29" s="5"/>
      <c r="G29" s="11"/>
      <c r="H29" s="12"/>
      <c r="I29" s="11"/>
      <c r="J29" s="11" t="s">
        <v>69</v>
      </c>
    </row>
    <row r="30" spans="1:10" ht="54" customHeight="1">
      <c r="A30" s="5">
        <v>3</v>
      </c>
      <c r="B30" s="5" t="s">
        <v>164</v>
      </c>
      <c r="C30" s="5" t="s">
        <v>336</v>
      </c>
      <c r="D30" s="5" t="s">
        <v>341</v>
      </c>
      <c r="E30" s="5" t="s">
        <v>338</v>
      </c>
      <c r="F30" s="5"/>
      <c r="G30" s="11"/>
      <c r="H30" s="12"/>
      <c r="I30" s="11"/>
      <c r="J30" s="11" t="s">
        <v>69</v>
      </c>
    </row>
    <row r="31" spans="1:10" ht="54" customHeight="1">
      <c r="A31" s="5">
        <v>4</v>
      </c>
      <c r="B31" s="5" t="s">
        <v>192</v>
      </c>
      <c r="C31" s="5" t="s">
        <v>336</v>
      </c>
      <c r="D31" s="5" t="s">
        <v>342</v>
      </c>
      <c r="E31" s="5" t="s">
        <v>338</v>
      </c>
      <c r="F31" s="5"/>
      <c r="G31" s="11"/>
      <c r="H31" s="12"/>
      <c r="I31" s="11"/>
      <c r="J31" s="11" t="s">
        <v>69</v>
      </c>
    </row>
    <row r="32" spans="1:10" ht="54" customHeight="1">
      <c r="A32" s="5">
        <v>5</v>
      </c>
      <c r="B32" s="5" t="s">
        <v>242</v>
      </c>
      <c r="C32" s="5" t="s">
        <v>336</v>
      </c>
      <c r="D32" s="5" t="s">
        <v>343</v>
      </c>
      <c r="E32" s="5" t="s">
        <v>338</v>
      </c>
      <c r="F32" s="5"/>
      <c r="G32" s="11"/>
      <c r="H32" s="12"/>
      <c r="I32" s="11"/>
      <c r="J32" s="11" t="s">
        <v>69</v>
      </c>
    </row>
    <row r="33" spans="1:10" ht="54" customHeight="1">
      <c r="A33" s="5">
        <v>6</v>
      </c>
      <c r="B33" s="5" t="s">
        <v>221</v>
      </c>
      <c r="C33" s="5" t="s">
        <v>336</v>
      </c>
      <c r="D33" s="5" t="s">
        <v>344</v>
      </c>
      <c r="E33" s="5" t="s">
        <v>338</v>
      </c>
      <c r="F33" s="5"/>
      <c r="G33" s="11"/>
      <c r="H33" s="12"/>
      <c r="I33" s="11"/>
      <c r="J33" s="11" t="s">
        <v>69</v>
      </c>
    </row>
    <row r="34" spans="1:10" ht="54" customHeight="1">
      <c r="A34" s="5">
        <v>7</v>
      </c>
      <c r="B34" s="5" t="s">
        <v>345</v>
      </c>
      <c r="C34" s="5" t="s">
        <v>346</v>
      </c>
      <c r="D34" s="5" t="s">
        <v>347</v>
      </c>
      <c r="E34" s="5" t="s">
        <v>348</v>
      </c>
      <c r="F34" s="5" t="s">
        <v>349</v>
      </c>
      <c r="G34" s="11"/>
      <c r="H34" s="12"/>
      <c r="I34" s="11"/>
      <c r="J34" s="11" t="s">
        <v>69</v>
      </c>
    </row>
  </sheetData>
  <mergeCells count="14">
    <mergeCell ref="B24:F24"/>
    <mergeCell ref="G24:J24"/>
    <mergeCell ref="A26:J26"/>
    <mergeCell ref="B21:F21"/>
    <mergeCell ref="G21:J21"/>
    <mergeCell ref="B22:F22"/>
    <mergeCell ref="G22:J22"/>
    <mergeCell ref="B23:F23"/>
    <mergeCell ref="G23:J23"/>
    <mergeCell ref="A1:J1"/>
    <mergeCell ref="A2:J3"/>
    <mergeCell ref="A4:D4"/>
    <mergeCell ref="A11:J11"/>
    <mergeCell ref="A20:J20"/>
  </mergeCells>
  <dataValidations count="1">
    <dataValidation type="list" sqref="J13:J18 J28:J34" xr:uid="{00000000-0002-0000-0200-000000000000}">
      <formula1>"Not reviewed,Needs changes,Approved,Clinical concern"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4"/>
  <sheetViews>
    <sheetView showGridLines="0" topLeftCell="A10" workbookViewId="0">
      <selection sqref="A1:J1"/>
    </sheetView>
  </sheetViews>
  <sheetFormatPr defaultRowHeight="13.8"/>
  <cols>
    <col min="1" max="1" width="10" customWidth="1"/>
    <col min="2" max="2" width="22" customWidth="1"/>
    <col min="3" max="3" width="28" customWidth="1"/>
    <col min="4" max="4" width="40" customWidth="1"/>
    <col min="5" max="5" width="36" customWidth="1"/>
    <col min="6" max="6" width="24" customWidth="1"/>
    <col min="7" max="7" width="25" customWidth="1"/>
    <col min="8" max="8" width="28" customWidth="1"/>
    <col min="9" max="9" width="34" customWidth="1"/>
    <col min="10" max="10" width="20" customWidth="1"/>
  </cols>
  <sheetData>
    <row r="1" spans="1:10" ht="34.049999999999997" customHeight="1">
      <c r="A1" s="17" t="s">
        <v>350</v>
      </c>
      <c r="B1" s="17"/>
      <c r="C1" s="17"/>
      <c r="D1" s="17"/>
      <c r="E1" s="17"/>
      <c r="F1" s="17"/>
      <c r="G1" s="17"/>
      <c r="H1" s="17"/>
      <c r="I1" s="17"/>
      <c r="J1" s="17"/>
    </row>
    <row r="2" spans="1:10" ht="28.05" customHeight="1">
      <c r="A2" s="18" t="s">
        <v>351</v>
      </c>
      <c r="B2" s="18"/>
      <c r="C2" s="18"/>
      <c r="D2" s="18"/>
      <c r="E2" s="18"/>
      <c r="F2" s="18"/>
      <c r="G2" s="18"/>
      <c r="H2" s="18"/>
      <c r="I2" s="18"/>
      <c r="J2" s="18"/>
    </row>
    <row r="3" spans="1:10" ht="28.05" customHeight="1">
      <c r="A3" s="18"/>
      <c r="B3" s="18"/>
      <c r="C3" s="18"/>
      <c r="D3" s="18"/>
      <c r="E3" s="18"/>
      <c r="F3" s="18"/>
      <c r="G3" s="18"/>
      <c r="H3" s="18"/>
      <c r="I3" s="18"/>
      <c r="J3" s="18"/>
    </row>
    <row r="4" spans="1:10" ht="24" customHeight="1">
      <c r="A4" s="19" t="s">
        <v>352</v>
      </c>
      <c r="B4" s="19"/>
      <c r="C4" s="19"/>
      <c r="D4" s="19"/>
      <c r="E4" s="19"/>
      <c r="F4" s="19"/>
      <c r="G4" s="19"/>
      <c r="H4" s="19"/>
      <c r="I4" s="19"/>
      <c r="J4" s="19"/>
    </row>
    <row r="5" spans="1:10" ht="34.049999999999997" customHeight="1">
      <c r="A5" s="4" t="s">
        <v>353</v>
      </c>
      <c r="B5" s="4" t="s">
        <v>354</v>
      </c>
      <c r="C5" s="4" t="s">
        <v>355</v>
      </c>
      <c r="D5" s="4" t="s">
        <v>8</v>
      </c>
      <c r="E5" s="4" t="s">
        <v>356</v>
      </c>
      <c r="F5" s="4" t="s">
        <v>357</v>
      </c>
      <c r="G5" s="4" t="s">
        <v>358</v>
      </c>
      <c r="H5" s="4" t="s">
        <v>359</v>
      </c>
      <c r="I5" s="4" t="s">
        <v>360</v>
      </c>
      <c r="J5" s="4" t="s">
        <v>291</v>
      </c>
    </row>
    <row r="6" spans="1:10" ht="54" customHeight="1">
      <c r="A6" s="5">
        <v>0</v>
      </c>
      <c r="B6" s="5" t="s">
        <v>361</v>
      </c>
      <c r="C6" s="5" t="s">
        <v>362</v>
      </c>
      <c r="D6" s="5" t="s">
        <v>363</v>
      </c>
      <c r="E6" s="5" t="s">
        <v>364</v>
      </c>
      <c r="F6" s="5" t="s">
        <v>365</v>
      </c>
      <c r="G6" s="5" t="s">
        <v>61</v>
      </c>
      <c r="H6" s="5" t="s">
        <v>315</v>
      </c>
      <c r="I6" s="11"/>
      <c r="J6" s="11" t="s">
        <v>69</v>
      </c>
    </row>
    <row r="7" spans="1:10" ht="54" customHeight="1">
      <c r="A7" s="5">
        <v>1</v>
      </c>
      <c r="B7" s="5" t="s">
        <v>61</v>
      </c>
      <c r="C7" s="5" t="s">
        <v>62</v>
      </c>
      <c r="D7" s="5" t="s">
        <v>366</v>
      </c>
      <c r="E7" s="5" t="s">
        <v>367</v>
      </c>
      <c r="F7" s="5" t="s">
        <v>82</v>
      </c>
      <c r="G7" s="5" t="s">
        <v>114</v>
      </c>
      <c r="H7" s="5" t="s">
        <v>315</v>
      </c>
      <c r="I7" s="11"/>
      <c r="J7" s="11" t="s">
        <v>69</v>
      </c>
    </row>
    <row r="8" spans="1:10" ht="54" customHeight="1">
      <c r="A8" s="5">
        <v>2</v>
      </c>
      <c r="B8" s="5" t="s">
        <v>114</v>
      </c>
      <c r="C8" s="5" t="s">
        <v>115</v>
      </c>
      <c r="D8" s="5" t="s">
        <v>302</v>
      </c>
      <c r="E8" s="5" t="s">
        <v>302</v>
      </c>
      <c r="F8" s="5" t="s">
        <v>119</v>
      </c>
      <c r="G8" s="5" t="s">
        <v>137</v>
      </c>
      <c r="H8" s="5" t="s">
        <v>315</v>
      </c>
      <c r="I8" s="11"/>
      <c r="J8" s="11" t="s">
        <v>69</v>
      </c>
    </row>
    <row r="9" spans="1:10" ht="54" customHeight="1">
      <c r="A9" s="5">
        <v>3</v>
      </c>
      <c r="B9" s="5" t="s">
        <v>137</v>
      </c>
      <c r="C9" s="5" t="s">
        <v>138</v>
      </c>
      <c r="D9" s="5" t="s">
        <v>293</v>
      </c>
      <c r="E9" s="5" t="s">
        <v>293</v>
      </c>
      <c r="F9" s="5" t="s">
        <v>119</v>
      </c>
      <c r="G9" s="5" t="s">
        <v>164</v>
      </c>
      <c r="H9" s="5" t="s">
        <v>315</v>
      </c>
      <c r="I9" s="11"/>
      <c r="J9" s="11" t="s">
        <v>69</v>
      </c>
    </row>
    <row r="10" spans="1:10" ht="54" customHeight="1">
      <c r="A10" s="5">
        <v>4</v>
      </c>
      <c r="B10" s="5" t="s">
        <v>164</v>
      </c>
      <c r="C10" s="5" t="s">
        <v>165</v>
      </c>
      <c r="D10" s="5" t="s">
        <v>298</v>
      </c>
      <c r="E10" s="5" t="s">
        <v>298</v>
      </c>
      <c r="F10" s="5" t="s">
        <v>119</v>
      </c>
      <c r="G10" s="5" t="s">
        <v>192</v>
      </c>
      <c r="H10" s="5" t="s">
        <v>315</v>
      </c>
      <c r="I10" s="11"/>
      <c r="J10" s="11" t="s">
        <v>69</v>
      </c>
    </row>
    <row r="11" spans="1:10" ht="54" customHeight="1">
      <c r="A11" s="5">
        <v>5</v>
      </c>
      <c r="B11" s="5" t="s">
        <v>192</v>
      </c>
      <c r="C11" s="5" t="s">
        <v>193</v>
      </c>
      <c r="D11" s="5" t="s">
        <v>306</v>
      </c>
      <c r="E11" s="5" t="s">
        <v>306</v>
      </c>
      <c r="F11" s="5" t="s">
        <v>119</v>
      </c>
      <c r="G11" s="5" t="s">
        <v>217</v>
      </c>
      <c r="H11" s="5" t="s">
        <v>315</v>
      </c>
      <c r="I11" s="11"/>
      <c r="J11" s="11" t="s">
        <v>69</v>
      </c>
    </row>
    <row r="12" spans="1:10" ht="54" customHeight="1">
      <c r="A12" s="5">
        <v>6</v>
      </c>
      <c r="B12" s="5" t="s">
        <v>217</v>
      </c>
      <c r="C12" s="5" t="s">
        <v>218</v>
      </c>
      <c r="D12" s="5" t="s">
        <v>314</v>
      </c>
      <c r="E12" s="5" t="s">
        <v>314</v>
      </c>
      <c r="F12" s="5" t="s">
        <v>119</v>
      </c>
      <c r="G12" s="5" t="s">
        <v>242</v>
      </c>
      <c r="H12" s="5" t="s">
        <v>315</v>
      </c>
      <c r="I12" s="11"/>
      <c r="J12" s="11" t="s">
        <v>69</v>
      </c>
    </row>
    <row r="13" spans="1:10" ht="54" customHeight="1">
      <c r="A13" s="5">
        <v>7</v>
      </c>
      <c r="B13" s="5" t="s">
        <v>242</v>
      </c>
      <c r="C13" s="5" t="s">
        <v>243</v>
      </c>
      <c r="D13" s="5" t="s">
        <v>310</v>
      </c>
      <c r="E13" s="5" t="s">
        <v>310</v>
      </c>
      <c r="F13" s="5" t="s">
        <v>119</v>
      </c>
      <c r="G13" s="5" t="s">
        <v>368</v>
      </c>
      <c r="H13" s="5" t="s">
        <v>315</v>
      </c>
      <c r="I13" s="11"/>
      <c r="J13" s="11" t="s">
        <v>69</v>
      </c>
    </row>
    <row r="14" spans="1:10" ht="54" customHeight="1">
      <c r="A14" s="5">
        <v>8</v>
      </c>
      <c r="B14" s="5" t="s">
        <v>369</v>
      </c>
      <c r="C14" s="5" t="s">
        <v>368</v>
      </c>
      <c r="D14" s="5" t="s">
        <v>370</v>
      </c>
      <c r="E14" s="5" t="s">
        <v>371</v>
      </c>
      <c r="F14" s="5" t="s">
        <v>372</v>
      </c>
      <c r="G14" s="5" t="s">
        <v>373</v>
      </c>
      <c r="H14" s="5" t="s">
        <v>374</v>
      </c>
      <c r="I14" s="11"/>
      <c r="J14" s="11" t="s">
        <v>69</v>
      </c>
    </row>
  </sheetData>
  <mergeCells count="3">
    <mergeCell ref="A1:J1"/>
    <mergeCell ref="A2:J3"/>
    <mergeCell ref="A4:J4"/>
  </mergeCells>
  <dataValidations count="1">
    <dataValidation type="list" sqref="J6:J14" xr:uid="{00000000-0002-0000-0300-000000000000}">
      <formula1>"Not reviewed,Needs changes,Approved,Clinical concern"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4"/>
  <sheetViews>
    <sheetView showGridLines="0" tabSelected="1" topLeftCell="B4" workbookViewId="0">
      <selection activeCell="E5" sqref="E5"/>
    </sheetView>
  </sheetViews>
  <sheetFormatPr defaultRowHeight="13.8"/>
  <cols>
    <col min="1" max="1" width="24" customWidth="1"/>
    <col min="2" max="2" width="22" customWidth="1"/>
    <col min="3" max="3" width="42" customWidth="1"/>
    <col min="4" max="4" width="20" customWidth="1"/>
    <col min="5" max="5" width="32" customWidth="1"/>
    <col min="6" max="6" width="20" customWidth="1"/>
    <col min="7" max="7" width="10" customWidth="1"/>
    <col min="8" max="8" width="12" customWidth="1"/>
    <col min="9" max="9" width="3" customWidth="1"/>
    <col min="10" max="10" width="14" customWidth="1"/>
    <col min="11" max="11" width="28" customWidth="1"/>
    <col min="12" max="12" width="12" customWidth="1"/>
    <col min="13" max="14" width="20" customWidth="1"/>
  </cols>
  <sheetData>
    <row r="1" spans="1:14" ht="34.049999999999997" customHeight="1">
      <c r="A1" s="17" t="s">
        <v>24</v>
      </c>
      <c r="B1" s="17"/>
      <c r="C1" s="17"/>
      <c r="D1" s="17"/>
      <c r="E1" s="17"/>
      <c r="F1" s="17"/>
      <c r="G1" s="17"/>
      <c r="H1" s="17"/>
      <c r="I1" s="17"/>
      <c r="J1" s="17"/>
      <c r="K1" s="17"/>
      <c r="L1" s="17"/>
      <c r="M1" s="17"/>
      <c r="N1" s="17"/>
    </row>
    <row r="2" spans="1:14" ht="28.05" customHeight="1">
      <c r="A2" s="18" t="s">
        <v>375</v>
      </c>
      <c r="B2" s="18"/>
      <c r="C2" s="18"/>
      <c r="D2" s="18"/>
      <c r="E2" s="18"/>
      <c r="F2" s="18"/>
      <c r="G2" s="18"/>
      <c r="H2" s="18"/>
      <c r="I2" s="18"/>
      <c r="J2" s="18"/>
      <c r="K2" s="18"/>
      <c r="L2" s="18"/>
      <c r="M2" s="18"/>
      <c r="N2" s="18"/>
    </row>
    <row r="3" spans="1:14" ht="28.05" customHeight="1">
      <c r="A3" s="18"/>
      <c r="B3" s="18"/>
      <c r="C3" s="18"/>
      <c r="D3" s="18"/>
      <c r="E3" s="18"/>
      <c r="F3" s="18"/>
      <c r="G3" s="18"/>
      <c r="H3" s="18"/>
      <c r="I3" s="18"/>
      <c r="J3" s="18"/>
      <c r="K3" s="18"/>
      <c r="L3" s="18"/>
      <c r="M3" s="18"/>
      <c r="N3" s="18"/>
    </row>
    <row r="4" spans="1:14" ht="24" customHeight="1">
      <c r="A4" s="4" t="s">
        <v>376</v>
      </c>
      <c r="B4" s="4" t="s">
        <v>46</v>
      </c>
      <c r="C4" s="4" t="s">
        <v>47</v>
      </c>
      <c r="D4" s="4" t="s">
        <v>48</v>
      </c>
      <c r="E4" s="4" t="s">
        <v>377</v>
      </c>
      <c r="F4" s="4" t="s">
        <v>51</v>
      </c>
      <c r="G4" s="4" t="s">
        <v>378</v>
      </c>
      <c r="H4" s="4" t="s">
        <v>49</v>
      </c>
      <c r="I4" s="1"/>
      <c r="J4" s="19" t="s">
        <v>379</v>
      </c>
      <c r="K4" s="19"/>
      <c r="L4" s="19"/>
      <c r="M4" s="19"/>
      <c r="N4" s="19"/>
    </row>
    <row r="5" spans="1:14" ht="34.049999999999997" customHeight="1">
      <c r="A5" s="5" t="s">
        <v>62</v>
      </c>
      <c r="B5" s="5" t="s">
        <v>63</v>
      </c>
      <c r="C5" s="5" t="s">
        <v>64</v>
      </c>
      <c r="D5" s="5" t="s">
        <v>65</v>
      </c>
      <c r="E5" s="11"/>
      <c r="F5" s="10" t="str">
        <f>IF(E5="","",IFERROR(VLOOKUP(B5&amp;"|"&amp;E5,'Questions &amp; Answers'!$A$5:$J$71,10,FALSE),""))</f>
        <v/>
      </c>
      <c r="G5" s="10" t="str">
        <f>IF(E5="","",IFERROR(VLOOKUP(B5&amp;"|"&amp;E5,'Questions &amp; Answers'!$A$5:$K$71,11,FALSE),""))</f>
        <v/>
      </c>
      <c r="H5" s="5" t="s">
        <v>66</v>
      </c>
      <c r="I5" s="1"/>
      <c r="J5" s="4" t="s">
        <v>380</v>
      </c>
      <c r="K5" s="4" t="s">
        <v>381</v>
      </c>
      <c r="L5" s="4" t="s">
        <v>382</v>
      </c>
      <c r="M5" s="4" t="s">
        <v>275</v>
      </c>
      <c r="N5" s="4" t="s">
        <v>383</v>
      </c>
    </row>
    <row r="6" spans="1:14" ht="42" customHeight="1">
      <c r="A6" s="5" t="s">
        <v>62</v>
      </c>
      <c r="B6" s="5" t="s">
        <v>82</v>
      </c>
      <c r="C6" s="5" t="s">
        <v>83</v>
      </c>
      <c r="D6" s="5" t="s">
        <v>65</v>
      </c>
      <c r="E6" s="11"/>
      <c r="F6" s="10" t="str">
        <f>IF(E6="","",IFERROR(VLOOKUP(B6&amp;"|"&amp;E6,'Questions &amp; Answers'!$A$5:$J$71,10,FALSE),""))</f>
        <v/>
      </c>
      <c r="G6" s="10" t="str">
        <f>IF(E6="","",IFERROR(VLOOKUP(B6&amp;"|"&amp;E6,'Questions &amp; Answers'!$A$5:$K$71,11,FALSE),""))</f>
        <v/>
      </c>
      <c r="H6" s="5" t="s">
        <v>84</v>
      </c>
      <c r="I6" s="1"/>
      <c r="J6" s="5" t="s">
        <v>384</v>
      </c>
      <c r="K6" s="5" t="s">
        <v>385</v>
      </c>
      <c r="L6" s="5">
        <v>15</v>
      </c>
      <c r="M6" s="5" t="s">
        <v>281</v>
      </c>
      <c r="N6" s="5">
        <v>5</v>
      </c>
    </row>
    <row r="7" spans="1:14" ht="42" customHeight="1">
      <c r="A7" s="5" t="s">
        <v>62</v>
      </c>
      <c r="B7" s="5" t="s">
        <v>97</v>
      </c>
      <c r="C7" s="5" t="s">
        <v>98</v>
      </c>
      <c r="D7" s="5" t="s">
        <v>65</v>
      </c>
      <c r="E7" s="11"/>
      <c r="F7" s="10" t="str">
        <f>IF(E7="","",IFERROR(VLOOKUP(B7&amp;"|"&amp;E7,'Questions &amp; Answers'!$A$5:$J$71,10,FALSE),""))</f>
        <v/>
      </c>
      <c r="G7" s="10" t="str">
        <f>IF(E7="","",IFERROR(VLOOKUP(B7&amp;"|"&amp;E7,'Questions &amp; Answers'!$A$5:$K$71,11,FALSE),""))</f>
        <v/>
      </c>
      <c r="H7" s="5" t="s">
        <v>66</v>
      </c>
      <c r="I7" s="1"/>
      <c r="J7" s="5" t="s">
        <v>386</v>
      </c>
      <c r="K7" s="5" t="s">
        <v>387</v>
      </c>
      <c r="L7" s="5">
        <v>48</v>
      </c>
      <c r="M7" s="5" t="s">
        <v>280</v>
      </c>
      <c r="N7" s="5">
        <v>5</v>
      </c>
    </row>
    <row r="8" spans="1:14" ht="42" customHeight="1">
      <c r="A8" s="5" t="s">
        <v>115</v>
      </c>
      <c r="B8" s="5" t="s">
        <v>116</v>
      </c>
      <c r="C8" s="5" t="s">
        <v>117</v>
      </c>
      <c r="D8" s="5" t="s">
        <v>118</v>
      </c>
      <c r="E8" s="11"/>
      <c r="F8" s="10" t="str">
        <f>IF(E8="","",IFERROR(VLOOKUP(B8&amp;"|"&amp;E8,'Questions &amp; Answers'!$A$5:$J$71,10,FALSE),""))</f>
        <v/>
      </c>
      <c r="G8" s="10" t="str">
        <f>IF(E8="","",IFERROR(VLOOKUP(B8&amp;"|"&amp;E8,'Questions &amp; Answers'!$A$5:$K$71,11,FALSE),""))</f>
        <v/>
      </c>
      <c r="H8" s="5" t="s">
        <v>66</v>
      </c>
      <c r="I8" s="1"/>
      <c r="J8" s="5" t="s">
        <v>388</v>
      </c>
      <c r="K8" s="5" t="s">
        <v>389</v>
      </c>
      <c r="L8" s="5">
        <v>99</v>
      </c>
      <c r="M8" s="5" t="s">
        <v>277</v>
      </c>
      <c r="N8" s="5">
        <v>1</v>
      </c>
    </row>
    <row r="9" spans="1:14" ht="42" customHeight="1">
      <c r="A9" s="5" t="s">
        <v>115</v>
      </c>
      <c r="B9" s="5" t="s">
        <v>131</v>
      </c>
      <c r="C9" s="5" t="s">
        <v>132</v>
      </c>
      <c r="D9" s="5" t="s">
        <v>118</v>
      </c>
      <c r="E9" s="11"/>
      <c r="F9" s="10" t="str">
        <f>IF(E9="","",IFERROR(VLOOKUP(B9&amp;"|"&amp;E9,'Questions &amp; Answers'!$A$5:$J$71,10,FALSE),""))</f>
        <v/>
      </c>
      <c r="G9" s="10" t="str">
        <f>IF(E9="","",IFERROR(VLOOKUP(B9&amp;"|"&amp;E9,'Questions &amp; Answers'!$A$5:$K$71,11,FALSE),""))</f>
        <v/>
      </c>
      <c r="H9" s="5" t="s">
        <v>66</v>
      </c>
      <c r="I9" s="1"/>
      <c r="J9" s="1"/>
      <c r="K9" s="1"/>
      <c r="L9" s="1"/>
      <c r="M9" s="1"/>
      <c r="N9" s="1"/>
    </row>
    <row r="10" spans="1:14" ht="42" customHeight="1">
      <c r="A10" s="5" t="s">
        <v>138</v>
      </c>
      <c r="B10" s="5" t="s">
        <v>139</v>
      </c>
      <c r="C10" s="5" t="s">
        <v>140</v>
      </c>
      <c r="D10" s="5" t="s">
        <v>141</v>
      </c>
      <c r="E10" s="11"/>
      <c r="F10" s="10" t="str">
        <f>IF(E10="","",IFERROR(VLOOKUP(B10&amp;"|"&amp;E10,'Questions &amp; Answers'!$A$5:$J$71,10,FALSE),""))</f>
        <v/>
      </c>
      <c r="G10" s="10" t="str">
        <f>IF(E10="","",IFERROR(VLOOKUP(B10&amp;"|"&amp;E10,'Questions &amp; Answers'!$A$5:$K$71,11,FALSE),""))</f>
        <v/>
      </c>
      <c r="H10" s="5" t="s">
        <v>66</v>
      </c>
      <c r="I10" s="1"/>
      <c r="J10" s="41" t="s">
        <v>390</v>
      </c>
      <c r="K10" s="42"/>
      <c r="L10" s="42"/>
      <c r="M10" s="42"/>
      <c r="N10" s="43"/>
    </row>
    <row r="11" spans="1:14" ht="42" customHeight="1">
      <c r="A11" s="5" t="s">
        <v>138</v>
      </c>
      <c r="B11" s="5" t="s">
        <v>154</v>
      </c>
      <c r="C11" s="5" t="s">
        <v>155</v>
      </c>
      <c r="D11" s="5" t="s">
        <v>141</v>
      </c>
      <c r="E11" s="11"/>
      <c r="F11" s="10" t="str">
        <f>IF(E11="","",IFERROR(VLOOKUP(B11&amp;"|"&amp;E11,'Questions &amp; Answers'!$A$5:$J$71,10,FALSE),""))</f>
        <v/>
      </c>
      <c r="G11" s="10" t="str">
        <f>IF(E11="","",IFERROR(VLOOKUP(B11&amp;"|"&amp;E11,'Questions &amp; Answers'!$A$5:$K$71,11,FALSE),""))</f>
        <v/>
      </c>
      <c r="H11" s="5" t="s">
        <v>66</v>
      </c>
      <c r="I11" s="1"/>
      <c r="J11" s="44"/>
      <c r="K11" s="18"/>
      <c r="L11" s="18"/>
      <c r="M11" s="18"/>
      <c r="N11" s="45"/>
    </row>
    <row r="12" spans="1:14" ht="42" customHeight="1">
      <c r="A12" s="5" t="s">
        <v>165</v>
      </c>
      <c r="B12" s="5" t="s">
        <v>166</v>
      </c>
      <c r="C12" s="5" t="s">
        <v>167</v>
      </c>
      <c r="D12" s="5" t="s">
        <v>164</v>
      </c>
      <c r="E12" s="11"/>
      <c r="F12" s="10" t="str">
        <f>IF(E12="","",IFERROR(VLOOKUP(B12&amp;"|"&amp;E12,'Questions &amp; Answers'!$A$5:$J$71,10,FALSE),""))</f>
        <v/>
      </c>
      <c r="G12" s="10" t="str">
        <f>IF(E12="","",IFERROR(VLOOKUP(B12&amp;"|"&amp;E12,'Questions &amp; Answers'!$A$5:$K$71,11,FALSE),""))</f>
        <v/>
      </c>
      <c r="H12" s="5" t="s">
        <v>66</v>
      </c>
      <c r="I12" s="1"/>
      <c r="J12" s="44"/>
      <c r="K12" s="18"/>
      <c r="L12" s="18"/>
      <c r="M12" s="18"/>
      <c r="N12" s="45"/>
    </row>
    <row r="13" spans="1:14" ht="42" customHeight="1">
      <c r="A13" s="5" t="s">
        <v>165</v>
      </c>
      <c r="B13" s="5" t="s">
        <v>180</v>
      </c>
      <c r="C13" s="5" t="s">
        <v>181</v>
      </c>
      <c r="D13" s="5" t="s">
        <v>164</v>
      </c>
      <c r="E13" s="11"/>
      <c r="F13" s="10" t="str">
        <f>IF(E13="","",IFERROR(VLOOKUP(B13&amp;"|"&amp;E13,'Questions &amp; Answers'!$A$5:$J$71,10,FALSE),""))</f>
        <v/>
      </c>
      <c r="G13" s="10" t="str">
        <f>IF(E13="","",IFERROR(VLOOKUP(B13&amp;"|"&amp;E13,'Questions &amp; Answers'!$A$5:$K$71,11,FALSE),""))</f>
        <v/>
      </c>
      <c r="H13" s="5" t="s">
        <v>66</v>
      </c>
      <c r="I13" s="1"/>
      <c r="J13" s="44"/>
      <c r="K13" s="18"/>
      <c r="L13" s="18"/>
      <c r="M13" s="18"/>
      <c r="N13" s="45"/>
    </row>
    <row r="14" spans="1:14" ht="42" customHeight="1">
      <c r="A14" s="5" t="s">
        <v>193</v>
      </c>
      <c r="B14" s="5" t="s">
        <v>194</v>
      </c>
      <c r="C14" s="5" t="s">
        <v>195</v>
      </c>
      <c r="D14" s="5" t="s">
        <v>192</v>
      </c>
      <c r="E14" s="11"/>
      <c r="F14" s="10" t="str">
        <f>IF(E14="","",IFERROR(VLOOKUP(B14&amp;"|"&amp;E14,'Questions &amp; Answers'!$A$5:$J$71,10,FALSE),""))</f>
        <v/>
      </c>
      <c r="G14" s="10" t="str">
        <f>IF(E14="","",IFERROR(VLOOKUP(B14&amp;"|"&amp;E14,'Questions &amp; Answers'!$A$5:$K$71,11,FALSE),""))</f>
        <v/>
      </c>
      <c r="H14" s="5" t="s">
        <v>66</v>
      </c>
      <c r="I14" s="1"/>
      <c r="J14" s="46"/>
      <c r="K14" s="47"/>
      <c r="L14" s="47"/>
      <c r="M14" s="47"/>
      <c r="N14" s="48"/>
    </row>
    <row r="15" spans="1:14" ht="42" customHeight="1">
      <c r="A15" s="5" t="s">
        <v>193</v>
      </c>
      <c r="B15" s="5" t="s">
        <v>208</v>
      </c>
      <c r="C15" s="5" t="s">
        <v>209</v>
      </c>
      <c r="D15" s="5" t="s">
        <v>192</v>
      </c>
      <c r="E15" s="11"/>
      <c r="F15" s="10" t="str">
        <f>IF(E15="","",IFERROR(VLOOKUP(B15&amp;"|"&amp;E15,'Questions &amp; Answers'!$A$5:$J$71,10,FALSE),""))</f>
        <v/>
      </c>
      <c r="G15" s="10" t="str">
        <f>IF(E15="","",IFERROR(VLOOKUP(B15&amp;"|"&amp;E15,'Questions &amp; Answers'!$A$5:$K$71,11,FALSE),""))</f>
        <v/>
      </c>
      <c r="H15" s="5" t="s">
        <v>66</v>
      </c>
      <c r="I15" s="1"/>
      <c r="J15" s="1"/>
      <c r="K15" s="1"/>
      <c r="L15" s="1"/>
      <c r="M15" s="1"/>
      <c r="N15" s="1"/>
    </row>
    <row r="16" spans="1:14" ht="42" customHeight="1">
      <c r="A16" s="5" t="s">
        <v>218</v>
      </c>
      <c r="B16" s="5" t="s">
        <v>219</v>
      </c>
      <c r="C16" s="5" t="s">
        <v>220</v>
      </c>
      <c r="D16" s="5" t="s">
        <v>221</v>
      </c>
      <c r="E16" s="11"/>
      <c r="F16" s="10" t="str">
        <f>IF(E16="","",IFERROR(VLOOKUP(B16&amp;"|"&amp;E16,'Questions &amp; Answers'!$A$5:$J$71,10,FALSE),""))</f>
        <v/>
      </c>
      <c r="G16" s="10" t="str">
        <f>IF(E16="","",IFERROR(VLOOKUP(B16&amp;"|"&amp;E16,'Questions &amp; Answers'!$A$5:$K$71,11,FALSE),""))</f>
        <v/>
      </c>
      <c r="H16" s="5" t="s">
        <v>66</v>
      </c>
      <c r="I16" s="1"/>
      <c r="J16" s="1"/>
      <c r="K16" s="1"/>
      <c r="L16" s="1"/>
      <c r="M16" s="1"/>
      <c r="N16" s="1"/>
    </row>
    <row r="17" spans="1:14" ht="42" customHeight="1">
      <c r="A17" s="5" t="s">
        <v>218</v>
      </c>
      <c r="B17" s="5" t="s">
        <v>228</v>
      </c>
      <c r="C17" s="5" t="s">
        <v>229</v>
      </c>
      <c r="D17" s="5" t="s">
        <v>221</v>
      </c>
      <c r="E17" s="11"/>
      <c r="F17" s="10" t="str">
        <f>IF(E17="","",IFERROR(VLOOKUP(B17&amp;"|"&amp;E17,'Questions &amp; Answers'!$A$5:$J$71,10,FALSE),""))</f>
        <v/>
      </c>
      <c r="G17" s="10" t="str">
        <f>IF(E17="","",IFERROR(VLOOKUP(B17&amp;"|"&amp;E17,'Questions &amp; Answers'!$A$5:$K$71,11,FALSE),""))</f>
        <v/>
      </c>
      <c r="H17" s="5" t="s">
        <v>66</v>
      </c>
      <c r="I17" s="1"/>
      <c r="J17" s="1"/>
      <c r="K17" s="1"/>
      <c r="L17" s="1"/>
      <c r="M17" s="1"/>
      <c r="N17" s="1"/>
    </row>
    <row r="18" spans="1:14" ht="42" customHeight="1">
      <c r="A18" s="5" t="s">
        <v>218</v>
      </c>
      <c r="B18" s="5" t="s">
        <v>236</v>
      </c>
      <c r="C18" s="5" t="s">
        <v>237</v>
      </c>
      <c r="D18" s="5" t="s">
        <v>221</v>
      </c>
      <c r="E18" s="11"/>
      <c r="F18" s="10" t="str">
        <f>IF(E18="","",IFERROR(VLOOKUP(B18&amp;"|"&amp;E18,'Questions &amp; Answers'!$A$5:$J$71,10,FALSE),""))</f>
        <v/>
      </c>
      <c r="G18" s="10" t="str">
        <f>IF(E18="","",IFERROR(VLOOKUP(B18&amp;"|"&amp;E18,'Questions &amp; Answers'!$A$5:$K$71,11,FALSE),""))</f>
        <v/>
      </c>
      <c r="H18" s="5" t="s">
        <v>66</v>
      </c>
      <c r="I18" s="1"/>
      <c r="J18" s="1"/>
      <c r="K18" s="1"/>
      <c r="L18" s="1"/>
      <c r="M18" s="1"/>
      <c r="N18" s="1"/>
    </row>
    <row r="19" spans="1:14" ht="42" customHeight="1">
      <c r="A19" s="5" t="s">
        <v>243</v>
      </c>
      <c r="B19" s="5" t="s">
        <v>244</v>
      </c>
      <c r="C19" s="5" t="s">
        <v>245</v>
      </c>
      <c r="D19" s="5" t="s">
        <v>242</v>
      </c>
      <c r="E19" s="11"/>
      <c r="F19" s="10" t="str">
        <f>IF(E19="","",IFERROR(VLOOKUP(B19&amp;"|"&amp;E19,'Questions &amp; Answers'!$A$5:$J$71,10,FALSE),""))</f>
        <v/>
      </c>
      <c r="G19" s="10" t="str">
        <f>IF(E19="","",IFERROR(VLOOKUP(B19&amp;"|"&amp;E19,'Questions &amp; Answers'!$A$5:$K$71,11,FALSE),""))</f>
        <v/>
      </c>
      <c r="H19" s="5" t="s">
        <v>66</v>
      </c>
      <c r="I19" s="1"/>
      <c r="J19" s="1"/>
      <c r="K19" s="1"/>
      <c r="L19" s="1"/>
      <c r="M19" s="1"/>
      <c r="N19" s="1"/>
    </row>
    <row r="20" spans="1:14" ht="42" customHeight="1">
      <c r="A20" s="5" t="s">
        <v>243</v>
      </c>
      <c r="B20" s="5" t="s">
        <v>258</v>
      </c>
      <c r="C20" s="5" t="s">
        <v>259</v>
      </c>
      <c r="D20" s="5" t="s">
        <v>242</v>
      </c>
      <c r="E20" s="11"/>
      <c r="F20" s="10" t="str">
        <f>IF(E20="","",IFERROR(VLOOKUP(B20&amp;"|"&amp;E20,'Questions &amp; Answers'!$A$5:$J$71,10,FALSE),""))</f>
        <v/>
      </c>
      <c r="G20" s="10" t="str">
        <f>IF(E20="","",IFERROR(VLOOKUP(B20&amp;"|"&amp;E20,'Questions &amp; Answers'!$A$5:$K$71,11,FALSE),""))</f>
        <v/>
      </c>
      <c r="H20" s="5" t="s">
        <v>66</v>
      </c>
      <c r="I20" s="1"/>
      <c r="J20" s="1"/>
      <c r="K20" s="1"/>
      <c r="L20" s="1"/>
      <c r="M20" s="1"/>
      <c r="N20" s="1"/>
    </row>
    <row r="21" spans="1:14" ht="14.4">
      <c r="A21" s="1"/>
      <c r="B21" s="1"/>
      <c r="C21" s="1"/>
      <c r="D21" s="1"/>
      <c r="E21" s="1"/>
      <c r="F21" s="1"/>
      <c r="G21" s="1"/>
      <c r="H21" s="1"/>
      <c r="I21" s="1"/>
      <c r="J21" s="1"/>
      <c r="K21" s="1"/>
      <c r="L21" s="1"/>
      <c r="M21" s="1"/>
      <c r="N21" s="1"/>
    </row>
    <row r="22" spans="1:14" ht="24" customHeight="1">
      <c r="A22" s="19" t="s">
        <v>391</v>
      </c>
      <c r="B22" s="19"/>
      <c r="C22" s="19"/>
      <c r="D22" s="19"/>
      <c r="E22" s="19"/>
      <c r="F22" s="19"/>
      <c r="G22" s="19"/>
      <c r="H22" s="19"/>
      <c r="I22" s="1"/>
      <c r="J22" s="1"/>
      <c r="K22" s="1"/>
      <c r="L22" s="1"/>
      <c r="M22" s="1"/>
      <c r="N22" s="1"/>
    </row>
    <row r="23" spans="1:14" ht="34.049999999999997" customHeight="1">
      <c r="A23" s="4" t="s">
        <v>283</v>
      </c>
      <c r="B23" s="4" t="s">
        <v>284</v>
      </c>
      <c r="C23" s="4" t="s">
        <v>378</v>
      </c>
      <c r="D23" s="4" t="s">
        <v>275</v>
      </c>
      <c r="E23" s="4" t="s">
        <v>392</v>
      </c>
      <c r="F23" s="4" t="s">
        <v>393</v>
      </c>
      <c r="G23" s="1"/>
      <c r="H23" s="1"/>
      <c r="I23" s="1"/>
      <c r="J23" s="1"/>
      <c r="K23" s="1"/>
      <c r="L23" s="1"/>
      <c r="M23" s="1"/>
      <c r="N23" s="1"/>
    </row>
    <row r="24" spans="1:14" ht="66" customHeight="1">
      <c r="A24" s="5" t="s">
        <v>141</v>
      </c>
      <c r="B24" s="5" t="s">
        <v>292</v>
      </c>
      <c r="C24" s="15" t="str">
        <f t="shared" ref="C24:C29" si="0">IFERROR(ROUND(AVERAGEIF($D$5:$D$20,A24,$G$5:$G$20),0),"")</f>
        <v/>
      </c>
      <c r="D24" s="5" t="str">
        <f t="shared" ref="D24:D29" si="1">IF(C24="","",IF(C24&gt;=80,"Strong",IF(C24&gt;=60,"Developing well",IF(C24&gt;=40,"Could improve","Needs attention"))))</f>
        <v/>
      </c>
      <c r="E24" s="5" t="s">
        <v>294</v>
      </c>
      <c r="F24" s="5" t="str">
        <f>IF(C24="","",IF(C24&gt;=70,"Your fibre habits appear positive. Continuing to include wholegrains, legumes, fruit, and vegetables can support a balanced diet.","Your fibre intake appears lower than ideal. Increasing wholegrains, legumes, fruit, and vegetables may help support digestive health."))</f>
        <v/>
      </c>
      <c r="G24" s="1"/>
      <c r="H24" s="1"/>
      <c r="I24" s="1"/>
      <c r="J24" s="1"/>
      <c r="K24" s="1"/>
      <c r="L24" s="1"/>
      <c r="M24" s="1"/>
      <c r="N24" s="1"/>
    </row>
    <row r="25" spans="1:14" ht="66" customHeight="1">
      <c r="A25" s="5" t="s">
        <v>164</v>
      </c>
      <c r="B25" s="5" t="s">
        <v>297</v>
      </c>
      <c r="C25" s="15" t="str">
        <f t="shared" si="0"/>
        <v/>
      </c>
      <c r="D25" s="5" t="str">
        <f t="shared" si="1"/>
        <v/>
      </c>
      <c r="E25" s="5" t="s">
        <v>294</v>
      </c>
      <c r="F25" s="5" t="str">
        <f>IF(C25="","",IF(C25&gt;=70,"Your protein habits appear strong and are likely supporting satiety and muscle maintenance.","Your protein intake could be more consistent. Adding a protein source to more meals may help meals feel more balanced."))</f>
        <v/>
      </c>
      <c r="G25" s="1"/>
      <c r="H25" s="1"/>
      <c r="I25" s="1"/>
      <c r="J25" s="1"/>
      <c r="K25" s="1"/>
      <c r="L25" s="1"/>
      <c r="M25" s="1"/>
      <c r="N25" s="1"/>
    </row>
    <row r="26" spans="1:14" ht="66" customHeight="1">
      <c r="A26" s="5" t="s">
        <v>118</v>
      </c>
      <c r="B26" s="5" t="s">
        <v>301</v>
      </c>
      <c r="C26" s="15" t="str">
        <f t="shared" si="0"/>
        <v/>
      </c>
      <c r="D26" s="5" t="str">
        <f t="shared" si="1"/>
        <v/>
      </c>
      <c r="E26" s="5" t="s">
        <v>294</v>
      </c>
      <c r="F26" s="5" t="str">
        <f>IF(C26="","",IF(C26&gt;=70,"Your fruit and vegetable intake appears supportive of good overall diet quality.","Your fruit and vegetable intake could be increased. Small additions across the day can make this easier to sustain."))</f>
        <v/>
      </c>
      <c r="G26" s="1"/>
      <c r="H26" s="1"/>
      <c r="I26" s="1"/>
      <c r="J26" s="1"/>
      <c r="K26" s="1"/>
      <c r="L26" s="1"/>
      <c r="M26" s="1"/>
      <c r="N26" s="1"/>
    </row>
    <row r="27" spans="1:14" ht="66" customHeight="1">
      <c r="A27" s="5" t="s">
        <v>192</v>
      </c>
      <c r="B27" s="5" t="s">
        <v>305</v>
      </c>
      <c r="C27" s="15" t="str">
        <f t="shared" si="0"/>
        <v/>
      </c>
      <c r="D27" s="5" t="str">
        <f t="shared" si="1"/>
        <v/>
      </c>
      <c r="E27" s="5" t="s">
        <v>294</v>
      </c>
      <c r="F27" s="5" t="str">
        <f>IF(C27="","",IF(C27&gt;=70,"Your hydration habits appear supportive. Keeping water available during the day can help maintain this routine.","Your hydration habits could be improved by increasing daily fluid intake and choosing unsweetened drinks more often."))</f>
        <v/>
      </c>
      <c r="G27" s="1"/>
      <c r="H27" s="1"/>
      <c r="I27" s="1"/>
      <c r="J27" s="1"/>
      <c r="K27" s="1"/>
      <c r="L27" s="1"/>
      <c r="M27" s="1"/>
      <c r="N27" s="1"/>
    </row>
    <row r="28" spans="1:14" ht="66" customHeight="1">
      <c r="A28" s="5" t="s">
        <v>242</v>
      </c>
      <c r="B28" s="5" t="s">
        <v>309</v>
      </c>
      <c r="C28" s="15" t="str">
        <f t="shared" si="0"/>
        <v/>
      </c>
      <c r="D28" s="5" t="str">
        <f t="shared" si="1"/>
        <v/>
      </c>
      <c r="E28" s="5" t="s">
        <v>294</v>
      </c>
      <c r="F28" s="5" t="str">
        <f>IF(C28="","",IF(C28&gt;=70,"Your activity and sleep habits appear to be supporting your general wellbeing.","Your lifestyle habits may benefit from more regular movement and attention to sleep quality."))</f>
        <v/>
      </c>
      <c r="G28" s="1"/>
      <c r="H28" s="1"/>
      <c r="I28" s="1"/>
      <c r="J28" s="1"/>
      <c r="K28" s="1"/>
      <c r="L28" s="1"/>
      <c r="M28" s="1"/>
      <c r="N28" s="1"/>
    </row>
    <row r="29" spans="1:14" ht="66" customHeight="1">
      <c r="A29" s="5" t="s">
        <v>221</v>
      </c>
      <c r="B29" s="5" t="s">
        <v>313</v>
      </c>
      <c r="C29" s="15" t="str">
        <f t="shared" si="0"/>
        <v/>
      </c>
      <c r="D29" s="5" t="str">
        <f t="shared" si="1"/>
        <v/>
      </c>
      <c r="E29" s="5" t="s">
        <v>315</v>
      </c>
      <c r="F29" s="5" t="str">
        <f>IF(C29="","",IF(C29&gt;=70,"Your meal routine appears steady, which can make balanced nutrition easier to maintain.","Your meal routine could be more regular. Planning simple meals or snacks may help reduce skipped meals."))</f>
        <v/>
      </c>
      <c r="G29" s="1"/>
      <c r="H29" s="1"/>
      <c r="I29" s="1"/>
      <c r="J29" s="1"/>
      <c r="K29" s="1"/>
      <c r="L29" s="1"/>
      <c r="M29" s="1"/>
      <c r="N29" s="1"/>
    </row>
    <row r="30" spans="1:14" ht="14.4">
      <c r="A30" s="1"/>
      <c r="B30" s="1"/>
      <c r="C30" s="1"/>
      <c r="D30" s="1"/>
      <c r="E30" s="1"/>
      <c r="F30" s="1"/>
      <c r="G30" s="1"/>
      <c r="H30" s="1"/>
      <c r="I30" s="1"/>
      <c r="J30" s="1"/>
      <c r="K30" s="1"/>
      <c r="L30" s="1"/>
      <c r="M30" s="1"/>
      <c r="N30" s="1"/>
    </row>
    <row r="31" spans="1:14" ht="14.4">
      <c r="A31" s="16" t="s">
        <v>322</v>
      </c>
      <c r="B31" s="38" t="str">
        <f>IF(COUNT(C24:C28)&lt;5,"",ROUND(AVERAGE(C24:C28),0))</f>
        <v/>
      </c>
      <c r="C31" s="38"/>
      <c r="D31" s="38"/>
      <c r="E31" s="38"/>
      <c r="F31" s="38"/>
      <c r="G31" s="1"/>
      <c r="H31" s="1"/>
      <c r="I31" s="1"/>
      <c r="J31" s="1"/>
      <c r="K31" s="1"/>
      <c r="L31" s="1"/>
      <c r="M31" s="1"/>
      <c r="N31" s="1"/>
    </row>
    <row r="32" spans="1:14" ht="14.4">
      <c r="A32" s="16" t="s">
        <v>394</v>
      </c>
      <c r="B32" s="38" t="str">
        <f>IF(B31="","",IF(B31&gt;=80,"Strong",IF(B31&gt;=60,"Developing well",IF(B31&gt;=40,"Could improve","Needs attention"))))</f>
        <v/>
      </c>
      <c r="C32" s="38"/>
      <c r="D32" s="38"/>
      <c r="E32" s="38"/>
      <c r="F32" s="38"/>
      <c r="G32" s="1"/>
      <c r="H32" s="1"/>
      <c r="I32" s="1"/>
      <c r="J32" s="1"/>
      <c r="K32" s="1"/>
      <c r="L32" s="1"/>
      <c r="M32" s="1"/>
      <c r="N32" s="1"/>
    </row>
    <row r="33" spans="1:14" ht="14.4">
      <c r="A33" s="16" t="s">
        <v>326</v>
      </c>
      <c r="B33" s="38" t="str">
        <f>IF(B31="","",IF(B31&gt;=70,"Your answers suggest a generally supportive nutrition pattern with some useful habits already in place.","Your answers suggest there are several realistic opportunities to strengthen your everyday nutrition habits."))</f>
        <v/>
      </c>
      <c r="C33" s="38"/>
      <c r="D33" s="38"/>
      <c r="E33" s="38"/>
      <c r="F33" s="38"/>
      <c r="G33" s="1"/>
      <c r="H33" s="1"/>
      <c r="I33" s="1"/>
      <c r="J33" s="1"/>
      <c r="K33" s="1"/>
      <c r="L33" s="1"/>
      <c r="M33" s="1"/>
      <c r="N33" s="1"/>
    </row>
    <row r="34" spans="1:14" ht="14.4">
      <c r="A34" s="1"/>
      <c r="B34" s="38"/>
      <c r="C34" s="38"/>
      <c r="D34" s="38"/>
      <c r="E34" s="38"/>
      <c r="F34" s="38"/>
      <c r="G34" s="1"/>
      <c r="H34" s="1"/>
      <c r="I34" s="1"/>
      <c r="J34" s="1"/>
      <c r="K34" s="1"/>
      <c r="L34" s="1"/>
      <c r="M34" s="1"/>
      <c r="N34" s="1"/>
    </row>
    <row r="35" spans="1:14" ht="14.4">
      <c r="A35" s="1"/>
      <c r="B35" s="1"/>
      <c r="C35" s="1"/>
      <c r="D35" s="1"/>
      <c r="E35" s="1"/>
      <c r="F35" s="1"/>
      <c r="G35" s="1"/>
      <c r="H35" s="1"/>
      <c r="I35" s="1"/>
      <c r="J35" s="1"/>
      <c r="K35" s="1"/>
      <c r="L35" s="1"/>
      <c r="M35" s="1"/>
      <c r="N35" s="1"/>
    </row>
    <row r="36" spans="1:14" ht="24" customHeight="1">
      <c r="A36" s="19" t="s">
        <v>395</v>
      </c>
      <c r="B36" s="19"/>
      <c r="C36" s="19"/>
      <c r="D36" s="19"/>
      <c r="E36" s="19"/>
      <c r="F36" s="19"/>
      <c r="G36" s="19"/>
      <c r="H36" s="19"/>
      <c r="I36" s="1"/>
      <c r="J36" s="1"/>
      <c r="K36" s="1"/>
      <c r="L36" s="1"/>
      <c r="M36" s="1"/>
      <c r="N36" s="1"/>
    </row>
    <row r="37" spans="1:14" ht="34.049999999999997" customHeight="1">
      <c r="A37" s="4" t="s">
        <v>329</v>
      </c>
      <c r="B37" s="4" t="s">
        <v>48</v>
      </c>
      <c r="C37" s="4" t="s">
        <v>396</v>
      </c>
      <c r="D37" s="39" t="s">
        <v>397</v>
      </c>
      <c r="E37" s="39"/>
      <c r="F37" s="39"/>
      <c r="G37" s="39"/>
      <c r="H37" s="39"/>
      <c r="I37" s="1"/>
      <c r="J37" s="1"/>
      <c r="K37" s="1"/>
      <c r="L37" s="1"/>
      <c r="M37" s="1"/>
      <c r="N37" s="1"/>
    </row>
    <row r="38" spans="1:14" ht="48" customHeight="1">
      <c r="A38" s="5">
        <v>1</v>
      </c>
      <c r="B38" s="5" t="s">
        <v>118</v>
      </c>
      <c r="C38" s="5" t="str">
        <f>IF(C26="","",IF(C26&lt;75,"Yes","No"))</f>
        <v/>
      </c>
      <c r="D38" s="38" t="str">
        <f>IF(C38="Yes","Add an extra serving of vegetables to lunch or dinner.","")</f>
        <v/>
      </c>
      <c r="E38" s="38"/>
      <c r="F38" s="38"/>
      <c r="G38" s="38"/>
      <c r="H38" s="38"/>
      <c r="I38" s="1"/>
      <c r="J38" s="1"/>
      <c r="K38" s="1"/>
      <c r="L38" s="1"/>
      <c r="M38" s="1"/>
      <c r="N38" s="1"/>
    </row>
    <row r="39" spans="1:14" ht="48" customHeight="1">
      <c r="A39" s="5">
        <v>2</v>
      </c>
      <c r="B39" s="5" t="s">
        <v>141</v>
      </c>
      <c r="C39" s="5" t="str">
        <f>IF(C24="","",IF(C24&lt;75,"Yes","No"))</f>
        <v/>
      </c>
      <c r="D39" s="38" t="str">
        <f>IF(C39="Yes","Choose wholegrain options more often, such as oats, wholegrain bread, brown rice, or wholegrain pasta.","")</f>
        <v/>
      </c>
      <c r="E39" s="38"/>
      <c r="F39" s="38"/>
      <c r="G39" s="38"/>
      <c r="H39" s="38"/>
      <c r="I39" s="1"/>
      <c r="J39" s="1"/>
      <c r="K39" s="1"/>
      <c r="L39" s="1"/>
      <c r="M39" s="1"/>
      <c r="N39" s="1"/>
    </row>
    <row r="40" spans="1:14" ht="48" customHeight="1">
      <c r="A40" s="5">
        <v>3</v>
      </c>
      <c r="B40" s="5" t="s">
        <v>164</v>
      </c>
      <c r="C40" s="5" t="str">
        <f>IF(C25="","",IF(C25&lt;75,"Yes","No"))</f>
        <v/>
      </c>
      <c r="D40" s="38" t="str">
        <f>IF(C40="Yes","Include a protein source with breakfast or your least balanced meal of the day.","")</f>
        <v/>
      </c>
      <c r="E40" s="38"/>
      <c r="F40" s="38"/>
      <c r="G40" s="38"/>
      <c r="H40" s="38"/>
      <c r="I40" s="1"/>
      <c r="J40" s="1"/>
      <c r="K40" s="1"/>
      <c r="L40" s="1"/>
      <c r="M40" s="1"/>
      <c r="N40" s="1"/>
    </row>
    <row r="41" spans="1:14" ht="48" customHeight="1">
      <c r="A41" s="5">
        <v>4</v>
      </c>
      <c r="B41" s="5" t="s">
        <v>192</v>
      </c>
      <c r="C41" s="5" t="str">
        <f>IF(C27="","",IF(C27&lt;75,"Yes","No"))</f>
        <v/>
      </c>
      <c r="D41" s="38" t="str">
        <f>IF(C41="Yes","Carry a reusable water bottle to make regular fluid intake easier.","")</f>
        <v/>
      </c>
      <c r="E41" s="38"/>
      <c r="F41" s="38"/>
      <c r="G41" s="38"/>
      <c r="H41" s="38"/>
      <c r="I41" s="1"/>
      <c r="J41" s="1"/>
      <c r="K41" s="1"/>
      <c r="L41" s="1"/>
      <c r="M41" s="1"/>
      <c r="N41" s="1"/>
    </row>
    <row r="42" spans="1:14" ht="48" customHeight="1">
      <c r="A42" s="5">
        <v>5</v>
      </c>
      <c r="B42" s="5" t="s">
        <v>242</v>
      </c>
      <c r="C42" s="5" t="str">
        <f>IF(C28="","",IF(C28&lt;75,"Yes","No"))</f>
        <v/>
      </c>
      <c r="D42" s="38" t="str">
        <f>IF(C42="Yes","Plan short, realistic activity sessions during the week and keep a consistent wind-down routine when possible.","")</f>
        <v/>
      </c>
      <c r="E42" s="38"/>
      <c r="F42" s="38"/>
      <c r="G42" s="38"/>
      <c r="H42" s="38"/>
      <c r="I42" s="1"/>
      <c r="J42" s="1"/>
      <c r="K42" s="1"/>
      <c r="L42" s="1"/>
      <c r="M42" s="1"/>
      <c r="N42" s="1"/>
    </row>
    <row r="43" spans="1:14" ht="48" customHeight="1">
      <c r="A43" s="5">
        <v>6</v>
      </c>
      <c r="B43" s="5" t="s">
        <v>221</v>
      </c>
      <c r="C43" s="5" t="str">
        <f>IF(C29="","",IF(C29&lt;75,"Yes","No"))</f>
        <v/>
      </c>
      <c r="D43" s="38" t="str">
        <f>IF(C43="Yes","Keep one simple backup meal or snack available for busier days.","")</f>
        <v/>
      </c>
      <c r="E43" s="38"/>
      <c r="F43" s="38"/>
      <c r="G43" s="38"/>
      <c r="H43" s="38"/>
      <c r="I43" s="1"/>
      <c r="J43" s="1"/>
      <c r="K43" s="1"/>
      <c r="L43" s="1"/>
      <c r="M43" s="1"/>
      <c r="N43" s="1"/>
    </row>
    <row r="44" spans="1:14" ht="48" customHeight="1">
      <c r="A44" s="5">
        <v>7</v>
      </c>
      <c r="B44" s="5" t="s">
        <v>345</v>
      </c>
      <c r="C44" s="5" t="str">
        <f>IF(COUNT(C24:C29)&lt;6,"",IF(COUNTIF(C38:C43,"Yes")&lt;3,"Yes","No"))</f>
        <v/>
      </c>
      <c r="D44" s="38" t="str">
        <f>IF(C44="Yes","Keep building meals around vegetables, protein-rich foods, wholegrains, and regular fluids.","")</f>
        <v/>
      </c>
      <c r="E44" s="38"/>
      <c r="F44" s="38"/>
      <c r="G44" s="38"/>
      <c r="H44" s="38"/>
      <c r="I44" s="1"/>
      <c r="J44" s="1"/>
      <c r="K44" s="1"/>
      <c r="L44" s="1"/>
      <c r="M44" s="1"/>
      <c r="N44" s="1"/>
    </row>
  </sheetData>
  <mergeCells count="17">
    <mergeCell ref="D40:H40"/>
    <mergeCell ref="D41:H41"/>
    <mergeCell ref="D42:H42"/>
    <mergeCell ref="D43:H43"/>
    <mergeCell ref="D44:H44"/>
    <mergeCell ref="B33:F34"/>
    <mergeCell ref="A36:H36"/>
    <mergeCell ref="D37:H37"/>
    <mergeCell ref="D38:H38"/>
    <mergeCell ref="D39:H39"/>
    <mergeCell ref="A1:N1"/>
    <mergeCell ref="A2:N3"/>
    <mergeCell ref="A22:H22"/>
    <mergeCell ref="B31:F31"/>
    <mergeCell ref="B32:F32"/>
    <mergeCell ref="J4:N4"/>
    <mergeCell ref="J10:N14"/>
  </mergeCells>
  <conditionalFormatting sqref="C38:C44">
    <cfRule type="cellIs" dxfId="0" priority="1" operator="equal">
      <formula>"Yes"</formula>
    </cfRule>
  </conditionalFormatting>
  <dataValidations count="14">
    <dataValidation type="list" sqref="E5" xr:uid="{00000000-0002-0000-0400-000000000000}">
      <formula1>"18-24,25-34,35-44,45-54,55-64,65+"</formula1>
    </dataValidation>
    <dataValidation type="list" sqref="E6" xr:uid="{00000000-0002-0000-0400-000001000000}">
      <formula1>"Female,Male,Non-binary,Prefer not to say"</formula1>
    </dataValidation>
    <dataValidation type="list" sqref="E7" xr:uid="{00000000-0002-0000-0400-000002000000}">
      <formula1>"Improve health,Weight management,Sports performance,Improve energy levels,General wellbeing"</formula1>
    </dataValidation>
    <dataValidation type="list" sqref="E8:E9" xr:uid="{00000000-0002-0000-0400-000003000000}">
      <formula1>"None,1 portion,2 portions,3 or more portions"</formula1>
    </dataValidation>
    <dataValidation type="list" sqref="E10" xr:uid="{00000000-0002-0000-0400-000005000000}">
      <formula1>"Rarely or never,1-2 times per week,Most days,Daily"</formula1>
    </dataValidation>
    <dataValidation type="list" sqref="E11" xr:uid="{00000000-0002-0000-0400-000006000000}">
      <formula1>"Rarely or never,1-2 times per month,1-2 times per week,3 or more times per week"</formula1>
    </dataValidation>
    <dataValidation type="list" sqref="E12" xr:uid="{00000000-0002-0000-0400-000007000000}">
      <formula1>"Less than once daily,Once daily,Twice daily,With most meals"</formula1>
    </dataValidation>
    <dataValidation type="list" sqref="E13 E18" xr:uid="{00000000-0002-0000-0400-000008000000}">
      <formula1>"Rarely,Sometimes,Often,Almost always"</formula1>
    </dataValidation>
    <dataValidation type="list" sqref="E14" xr:uid="{00000000-0002-0000-0400-000009000000}">
      <formula1>"Less than 1 litre,1-1.5 litres,1.5-2 litres,More than 2 litres"</formula1>
    </dataValidation>
    <dataValidation type="list" sqref="E15" xr:uid="{00000000-0002-0000-0400-00000A000000}">
      <formula1>"Daily,Several times per week,Occasionally,Rarely or never"</formula1>
    </dataValidation>
    <dataValidation type="list" sqref="E16" xr:uid="{00000000-0002-0000-0400-00000B000000}">
      <formula1>"Rarely,A few days per week,Most days,Daily"</formula1>
    </dataValidation>
    <dataValidation type="list" sqref="E17" xr:uid="{00000000-0002-0000-0400-00000C000000}">
      <formula1>"Most days,A few times per week,Occasionally,Rarely or never"</formula1>
    </dataValidation>
    <dataValidation type="list" sqref="E19" xr:uid="{00000000-0002-0000-0400-00000E000000}">
      <formula1>"0 days,1-2 days,3-4 days,5 or more days"</formula1>
    </dataValidation>
    <dataValidation type="list" sqref="E20" xr:uid="{00000000-0002-0000-0400-00000F000000}">
      <formula1>"Poor,Fair,Good,Very good"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4"/>
  <sheetViews>
    <sheetView showGridLines="0" workbookViewId="0"/>
  </sheetViews>
  <sheetFormatPr defaultRowHeight="13.8"/>
  <cols>
    <col min="1" max="1" width="13" customWidth="1"/>
    <col min="2" max="2" width="18" customWidth="1"/>
    <col min="3" max="3" width="20" customWidth="1"/>
    <col min="4" max="4" width="24" customWidth="1"/>
    <col min="5" max="6" width="20" customWidth="1"/>
    <col min="7" max="7" width="36" customWidth="1"/>
    <col min="8" max="8" width="40" customWidth="1"/>
    <col min="9" max="9" width="32" customWidth="1"/>
    <col min="10" max="10" width="15" customWidth="1"/>
    <col min="11" max="11" width="34" customWidth="1"/>
    <col min="12" max="12" width="36" customWidth="1"/>
    <col min="13" max="13" width="34" customWidth="1"/>
    <col min="14" max="15" width="30" customWidth="1"/>
    <col min="16" max="16" width="12" customWidth="1"/>
    <col min="17" max="17" width="20" customWidth="1"/>
    <col min="18" max="18" width="34" customWidth="1"/>
  </cols>
  <sheetData>
    <row r="1" spans="1:18" ht="34.049999999999997" customHeight="1">
      <c r="A1" s="17" t="s">
        <v>27</v>
      </c>
      <c r="B1" s="17"/>
      <c r="C1" s="17"/>
      <c r="D1" s="17"/>
      <c r="E1" s="17"/>
      <c r="F1" s="17"/>
      <c r="G1" s="17"/>
      <c r="H1" s="17"/>
      <c r="I1" s="17"/>
      <c r="J1" s="17"/>
      <c r="K1" s="17"/>
      <c r="L1" s="17"/>
      <c r="M1" s="17"/>
      <c r="N1" s="17"/>
      <c r="O1" s="17"/>
      <c r="P1" s="17"/>
      <c r="Q1" s="17"/>
      <c r="R1" s="17"/>
    </row>
    <row r="2" spans="1:18" ht="28.05" customHeight="1">
      <c r="A2" s="18" t="s">
        <v>398</v>
      </c>
      <c r="B2" s="18"/>
      <c r="C2" s="18"/>
      <c r="D2" s="18"/>
      <c r="E2" s="18"/>
      <c r="F2" s="18"/>
      <c r="G2" s="18"/>
      <c r="H2" s="18"/>
      <c r="I2" s="18"/>
      <c r="J2" s="18"/>
      <c r="K2" s="18"/>
      <c r="L2" s="18"/>
      <c r="M2" s="18"/>
      <c r="N2" s="18"/>
      <c r="O2" s="18"/>
      <c r="P2" s="18"/>
      <c r="Q2" s="18"/>
      <c r="R2" s="18"/>
    </row>
    <row r="3" spans="1:18" ht="28.05" customHeight="1">
      <c r="A3" s="18"/>
      <c r="B3" s="18"/>
      <c r="C3" s="18"/>
      <c r="D3" s="18"/>
      <c r="E3" s="18"/>
      <c r="F3" s="18"/>
      <c r="G3" s="18"/>
      <c r="H3" s="18"/>
      <c r="I3" s="18"/>
      <c r="J3" s="18"/>
      <c r="K3" s="18"/>
      <c r="L3" s="18"/>
      <c r="M3" s="18"/>
      <c r="N3" s="18"/>
      <c r="O3" s="18"/>
      <c r="P3" s="18"/>
      <c r="Q3" s="18"/>
      <c r="R3" s="18"/>
    </row>
    <row r="4" spans="1:18" ht="34.049999999999997" customHeight="1">
      <c r="A4" s="4" t="s">
        <v>399</v>
      </c>
      <c r="B4" s="4" t="s">
        <v>400</v>
      </c>
      <c r="C4" s="4" t="s">
        <v>401</v>
      </c>
      <c r="D4" s="4" t="s">
        <v>402</v>
      </c>
      <c r="E4" s="4" t="s">
        <v>403</v>
      </c>
      <c r="F4" s="4" t="s">
        <v>404</v>
      </c>
      <c r="G4" s="4" t="s">
        <v>405</v>
      </c>
      <c r="H4" s="4" t="s">
        <v>406</v>
      </c>
      <c r="I4" s="4" t="s">
        <v>407</v>
      </c>
      <c r="J4" s="4" t="s">
        <v>408</v>
      </c>
      <c r="K4" s="4" t="s">
        <v>409</v>
      </c>
      <c r="L4" s="4" t="s">
        <v>410</v>
      </c>
      <c r="M4" s="4" t="s">
        <v>54</v>
      </c>
      <c r="N4" s="4" t="s">
        <v>55</v>
      </c>
      <c r="O4" s="4" t="s">
        <v>56</v>
      </c>
      <c r="P4" s="4" t="s">
        <v>411</v>
      </c>
      <c r="Q4" s="4" t="s">
        <v>412</v>
      </c>
      <c r="R4" s="4" t="s">
        <v>59</v>
      </c>
    </row>
    <row r="5" spans="1:18" ht="48" customHeight="1">
      <c r="A5" s="5" t="s">
        <v>413</v>
      </c>
      <c r="B5" s="11"/>
      <c r="C5" s="11"/>
      <c r="D5" s="11"/>
      <c r="E5" s="11"/>
      <c r="F5" s="11"/>
      <c r="G5" s="11"/>
      <c r="H5" s="11"/>
      <c r="I5" s="11"/>
      <c r="J5" s="11"/>
      <c r="K5" s="11"/>
      <c r="L5" s="11"/>
      <c r="M5" s="11"/>
      <c r="N5" s="11"/>
      <c r="O5" s="12"/>
      <c r="P5" s="11" t="s">
        <v>386</v>
      </c>
      <c r="Q5" s="11" t="s">
        <v>414</v>
      </c>
      <c r="R5" s="11"/>
    </row>
    <row r="6" spans="1:18" ht="48" customHeight="1">
      <c r="A6" s="5" t="s">
        <v>415</v>
      </c>
      <c r="B6" s="11"/>
      <c r="C6" s="11"/>
      <c r="D6" s="11"/>
      <c r="E6" s="11"/>
      <c r="F6" s="11"/>
      <c r="G6" s="11"/>
      <c r="H6" s="11"/>
      <c r="I6" s="11"/>
      <c r="J6" s="11"/>
      <c r="K6" s="11"/>
      <c r="L6" s="11"/>
      <c r="M6" s="11"/>
      <c r="N6" s="11"/>
      <c r="O6" s="12"/>
      <c r="P6" s="11" t="s">
        <v>386</v>
      </c>
      <c r="Q6" s="11" t="s">
        <v>414</v>
      </c>
      <c r="R6" s="11"/>
    </row>
    <row r="7" spans="1:18" ht="48" customHeight="1">
      <c r="A7" s="5" t="s">
        <v>416</v>
      </c>
      <c r="B7" s="11"/>
      <c r="C7" s="11"/>
      <c r="D7" s="11"/>
      <c r="E7" s="11"/>
      <c r="F7" s="11"/>
      <c r="G7" s="11"/>
      <c r="H7" s="11"/>
      <c r="I7" s="11"/>
      <c r="J7" s="11"/>
      <c r="K7" s="11"/>
      <c r="L7" s="11"/>
      <c r="M7" s="11"/>
      <c r="N7" s="11"/>
      <c r="O7" s="12"/>
      <c r="P7" s="11" t="s">
        <v>386</v>
      </c>
      <c r="Q7" s="11" t="s">
        <v>414</v>
      </c>
      <c r="R7" s="11"/>
    </row>
    <row r="8" spans="1:18" ht="48" customHeight="1">
      <c r="A8" s="5" t="s">
        <v>417</v>
      </c>
      <c r="B8" s="11"/>
      <c r="C8" s="11"/>
      <c r="D8" s="11"/>
      <c r="E8" s="11"/>
      <c r="F8" s="11"/>
      <c r="G8" s="11"/>
      <c r="H8" s="11"/>
      <c r="I8" s="11"/>
      <c r="J8" s="11"/>
      <c r="K8" s="11"/>
      <c r="L8" s="11"/>
      <c r="M8" s="11"/>
      <c r="N8" s="11"/>
      <c r="O8" s="12"/>
      <c r="P8" s="11" t="s">
        <v>386</v>
      </c>
      <c r="Q8" s="11" t="s">
        <v>414</v>
      </c>
      <c r="R8" s="11"/>
    </row>
    <row r="9" spans="1:18" ht="48" customHeight="1">
      <c r="A9" s="5" t="s">
        <v>418</v>
      </c>
      <c r="B9" s="11"/>
      <c r="C9" s="11"/>
      <c r="D9" s="11"/>
      <c r="E9" s="11"/>
      <c r="F9" s="11"/>
      <c r="G9" s="11"/>
      <c r="H9" s="11"/>
      <c r="I9" s="11"/>
      <c r="J9" s="11"/>
      <c r="K9" s="11"/>
      <c r="L9" s="11"/>
      <c r="M9" s="11"/>
      <c r="N9" s="11"/>
      <c r="O9" s="12"/>
      <c r="P9" s="11" t="s">
        <v>386</v>
      </c>
      <c r="Q9" s="11" t="s">
        <v>414</v>
      </c>
      <c r="R9" s="11"/>
    </row>
    <row r="10" spans="1:18" ht="48" customHeight="1">
      <c r="A10" s="5" t="s">
        <v>419</v>
      </c>
      <c r="B10" s="11"/>
      <c r="C10" s="11"/>
      <c r="D10" s="11"/>
      <c r="E10" s="11"/>
      <c r="F10" s="11"/>
      <c r="G10" s="11"/>
      <c r="H10" s="11"/>
      <c r="I10" s="11"/>
      <c r="J10" s="11"/>
      <c r="K10" s="11"/>
      <c r="L10" s="11"/>
      <c r="M10" s="11"/>
      <c r="N10" s="11"/>
      <c r="O10" s="12"/>
      <c r="P10" s="11" t="s">
        <v>386</v>
      </c>
      <c r="Q10" s="11" t="s">
        <v>414</v>
      </c>
      <c r="R10" s="11"/>
    </row>
    <row r="11" spans="1:18" ht="48" customHeight="1">
      <c r="A11" s="5" t="s">
        <v>420</v>
      </c>
      <c r="B11" s="11"/>
      <c r="C11" s="11"/>
      <c r="D11" s="11"/>
      <c r="E11" s="11"/>
      <c r="F11" s="11"/>
      <c r="G11" s="11"/>
      <c r="H11" s="11"/>
      <c r="I11" s="11"/>
      <c r="J11" s="11"/>
      <c r="K11" s="11"/>
      <c r="L11" s="11"/>
      <c r="M11" s="11"/>
      <c r="N11" s="11"/>
      <c r="O11" s="12"/>
      <c r="P11" s="11" t="s">
        <v>386</v>
      </c>
      <c r="Q11" s="11" t="s">
        <v>414</v>
      </c>
      <c r="R11" s="11"/>
    </row>
    <row r="12" spans="1:18" ht="48" customHeight="1">
      <c r="A12" s="5" t="s">
        <v>421</v>
      </c>
      <c r="B12" s="11"/>
      <c r="C12" s="11"/>
      <c r="D12" s="11"/>
      <c r="E12" s="11"/>
      <c r="F12" s="11"/>
      <c r="G12" s="11"/>
      <c r="H12" s="11"/>
      <c r="I12" s="11"/>
      <c r="J12" s="11"/>
      <c r="K12" s="11"/>
      <c r="L12" s="11"/>
      <c r="M12" s="11"/>
      <c r="N12" s="11"/>
      <c r="O12" s="12"/>
      <c r="P12" s="11" t="s">
        <v>386</v>
      </c>
      <c r="Q12" s="11" t="s">
        <v>414</v>
      </c>
      <c r="R12" s="11"/>
    </row>
    <row r="13" spans="1:18" ht="48" customHeight="1">
      <c r="A13" s="5" t="s">
        <v>422</v>
      </c>
      <c r="B13" s="11"/>
      <c r="C13" s="11"/>
      <c r="D13" s="11"/>
      <c r="E13" s="11"/>
      <c r="F13" s="11"/>
      <c r="G13" s="11"/>
      <c r="H13" s="11"/>
      <c r="I13" s="11"/>
      <c r="J13" s="11"/>
      <c r="K13" s="11"/>
      <c r="L13" s="11"/>
      <c r="M13" s="11"/>
      <c r="N13" s="11"/>
      <c r="O13" s="12"/>
      <c r="P13" s="11" t="s">
        <v>386</v>
      </c>
      <c r="Q13" s="11" t="s">
        <v>414</v>
      </c>
      <c r="R13" s="11"/>
    </row>
    <row r="14" spans="1:18" ht="48" customHeight="1">
      <c r="A14" s="5" t="s">
        <v>423</v>
      </c>
      <c r="B14" s="11"/>
      <c r="C14" s="11"/>
      <c r="D14" s="11"/>
      <c r="E14" s="11"/>
      <c r="F14" s="11"/>
      <c r="G14" s="11"/>
      <c r="H14" s="11"/>
      <c r="I14" s="11"/>
      <c r="J14" s="11"/>
      <c r="K14" s="11"/>
      <c r="L14" s="11"/>
      <c r="M14" s="11"/>
      <c r="N14" s="11"/>
      <c r="O14" s="12"/>
      <c r="P14" s="11" t="s">
        <v>386</v>
      </c>
      <c r="Q14" s="11" t="s">
        <v>414</v>
      </c>
      <c r="R14" s="11"/>
    </row>
    <row r="15" spans="1:18" ht="48" customHeight="1">
      <c r="A15" s="5" t="s">
        <v>424</v>
      </c>
      <c r="B15" s="11"/>
      <c r="C15" s="11"/>
      <c r="D15" s="11"/>
      <c r="E15" s="11"/>
      <c r="F15" s="11"/>
      <c r="G15" s="11"/>
      <c r="H15" s="11"/>
      <c r="I15" s="11"/>
      <c r="J15" s="11"/>
      <c r="K15" s="11"/>
      <c r="L15" s="11"/>
      <c r="M15" s="11"/>
      <c r="N15" s="11"/>
      <c r="O15" s="12"/>
      <c r="P15" s="11" t="s">
        <v>386</v>
      </c>
      <c r="Q15" s="11" t="s">
        <v>414</v>
      </c>
      <c r="R15" s="11"/>
    </row>
    <row r="16" spans="1:18" ht="48" customHeight="1">
      <c r="A16" s="5" t="s">
        <v>425</v>
      </c>
      <c r="B16" s="11"/>
      <c r="C16" s="11"/>
      <c r="D16" s="11"/>
      <c r="E16" s="11"/>
      <c r="F16" s="11"/>
      <c r="G16" s="11"/>
      <c r="H16" s="11"/>
      <c r="I16" s="11"/>
      <c r="J16" s="11"/>
      <c r="K16" s="11"/>
      <c r="L16" s="11"/>
      <c r="M16" s="11"/>
      <c r="N16" s="11"/>
      <c r="O16" s="12"/>
      <c r="P16" s="11" t="s">
        <v>386</v>
      </c>
      <c r="Q16" s="11" t="s">
        <v>414</v>
      </c>
      <c r="R16" s="11"/>
    </row>
    <row r="17" spans="1:18" ht="48" customHeight="1">
      <c r="A17" s="5" t="s">
        <v>426</v>
      </c>
      <c r="B17" s="11"/>
      <c r="C17" s="11"/>
      <c r="D17" s="11"/>
      <c r="E17" s="11"/>
      <c r="F17" s="11"/>
      <c r="G17" s="11"/>
      <c r="H17" s="11"/>
      <c r="I17" s="11"/>
      <c r="J17" s="11"/>
      <c r="K17" s="11"/>
      <c r="L17" s="11"/>
      <c r="M17" s="11"/>
      <c r="N17" s="11"/>
      <c r="O17" s="12"/>
      <c r="P17" s="11" t="s">
        <v>386</v>
      </c>
      <c r="Q17" s="11" t="s">
        <v>414</v>
      </c>
      <c r="R17" s="11"/>
    </row>
    <row r="18" spans="1:18" ht="48" customHeight="1">
      <c r="A18" s="5" t="s">
        <v>427</v>
      </c>
      <c r="B18" s="11"/>
      <c r="C18" s="11"/>
      <c r="D18" s="11"/>
      <c r="E18" s="11"/>
      <c r="F18" s="11"/>
      <c r="G18" s="11"/>
      <c r="H18" s="11"/>
      <c r="I18" s="11"/>
      <c r="J18" s="11"/>
      <c r="K18" s="11"/>
      <c r="L18" s="11"/>
      <c r="M18" s="11"/>
      <c r="N18" s="11"/>
      <c r="O18" s="12"/>
      <c r="P18" s="11" t="s">
        <v>386</v>
      </c>
      <c r="Q18" s="11" t="s">
        <v>414</v>
      </c>
      <c r="R18" s="11"/>
    </row>
    <row r="19" spans="1:18" ht="48" customHeight="1">
      <c r="A19" s="5" t="s">
        <v>428</v>
      </c>
      <c r="B19" s="11"/>
      <c r="C19" s="11"/>
      <c r="D19" s="11"/>
      <c r="E19" s="11"/>
      <c r="F19" s="11"/>
      <c r="G19" s="11"/>
      <c r="H19" s="11"/>
      <c r="I19" s="11"/>
      <c r="J19" s="11"/>
      <c r="K19" s="11"/>
      <c r="L19" s="11"/>
      <c r="M19" s="11"/>
      <c r="N19" s="11"/>
      <c r="O19" s="12"/>
      <c r="P19" s="11" t="s">
        <v>386</v>
      </c>
      <c r="Q19" s="11" t="s">
        <v>414</v>
      </c>
      <c r="R19" s="11"/>
    </row>
    <row r="20" spans="1:18" ht="48" customHeight="1">
      <c r="A20" s="5" t="s">
        <v>429</v>
      </c>
      <c r="B20" s="11"/>
      <c r="C20" s="11"/>
      <c r="D20" s="11"/>
      <c r="E20" s="11"/>
      <c r="F20" s="11"/>
      <c r="G20" s="11"/>
      <c r="H20" s="11"/>
      <c r="I20" s="11"/>
      <c r="J20" s="11"/>
      <c r="K20" s="11"/>
      <c r="L20" s="11"/>
      <c r="M20" s="11"/>
      <c r="N20" s="11"/>
      <c r="O20" s="12"/>
      <c r="P20" s="11" t="s">
        <v>386</v>
      </c>
      <c r="Q20" s="11" t="s">
        <v>414</v>
      </c>
      <c r="R20" s="11"/>
    </row>
    <row r="21" spans="1:18" ht="48" customHeight="1">
      <c r="A21" s="5" t="s">
        <v>430</v>
      </c>
      <c r="B21" s="11"/>
      <c r="C21" s="11"/>
      <c r="D21" s="11"/>
      <c r="E21" s="11"/>
      <c r="F21" s="11"/>
      <c r="G21" s="11"/>
      <c r="H21" s="11"/>
      <c r="I21" s="11"/>
      <c r="J21" s="11"/>
      <c r="K21" s="11"/>
      <c r="L21" s="11"/>
      <c r="M21" s="11"/>
      <c r="N21" s="11"/>
      <c r="O21" s="12"/>
      <c r="P21" s="11" t="s">
        <v>386</v>
      </c>
      <c r="Q21" s="11" t="s">
        <v>414</v>
      </c>
      <c r="R21" s="11"/>
    </row>
    <row r="22" spans="1:18" ht="48" customHeight="1">
      <c r="A22" s="5" t="s">
        <v>431</v>
      </c>
      <c r="B22" s="11"/>
      <c r="C22" s="11"/>
      <c r="D22" s="11"/>
      <c r="E22" s="11"/>
      <c r="F22" s="11"/>
      <c r="G22" s="11"/>
      <c r="H22" s="11"/>
      <c r="I22" s="11"/>
      <c r="J22" s="11"/>
      <c r="K22" s="11"/>
      <c r="L22" s="11"/>
      <c r="M22" s="11"/>
      <c r="N22" s="11"/>
      <c r="O22" s="12"/>
      <c r="P22" s="11" t="s">
        <v>386</v>
      </c>
      <c r="Q22" s="11" t="s">
        <v>414</v>
      </c>
      <c r="R22" s="11"/>
    </row>
    <row r="23" spans="1:18" ht="48" customHeight="1">
      <c r="A23" s="5" t="s">
        <v>432</v>
      </c>
      <c r="B23" s="11"/>
      <c r="C23" s="11"/>
      <c r="D23" s="11"/>
      <c r="E23" s="11"/>
      <c r="F23" s="11"/>
      <c r="G23" s="11"/>
      <c r="H23" s="11"/>
      <c r="I23" s="11"/>
      <c r="J23" s="11"/>
      <c r="K23" s="11"/>
      <c r="L23" s="11"/>
      <c r="M23" s="11"/>
      <c r="N23" s="11"/>
      <c r="O23" s="12"/>
      <c r="P23" s="11" t="s">
        <v>386</v>
      </c>
      <c r="Q23" s="11" t="s">
        <v>414</v>
      </c>
      <c r="R23" s="11"/>
    </row>
    <row r="24" spans="1:18" ht="48" customHeight="1">
      <c r="A24" s="5" t="s">
        <v>433</v>
      </c>
      <c r="B24" s="11"/>
      <c r="C24" s="11"/>
      <c r="D24" s="11"/>
      <c r="E24" s="11"/>
      <c r="F24" s="11"/>
      <c r="G24" s="11"/>
      <c r="H24" s="11"/>
      <c r="I24" s="11"/>
      <c r="J24" s="11"/>
      <c r="K24" s="11"/>
      <c r="L24" s="11"/>
      <c r="M24" s="11"/>
      <c r="N24" s="11"/>
      <c r="O24" s="12"/>
      <c r="P24" s="11" t="s">
        <v>386</v>
      </c>
      <c r="Q24" s="11" t="s">
        <v>414</v>
      </c>
      <c r="R24" s="11"/>
    </row>
    <row r="25" spans="1:18" ht="48" customHeight="1">
      <c r="A25" s="5" t="s">
        <v>434</v>
      </c>
      <c r="B25" s="11"/>
      <c r="C25" s="11"/>
      <c r="D25" s="11"/>
      <c r="E25" s="11"/>
      <c r="F25" s="11"/>
      <c r="G25" s="11"/>
      <c r="H25" s="11"/>
      <c r="I25" s="11"/>
      <c r="J25" s="11"/>
      <c r="K25" s="11"/>
      <c r="L25" s="11"/>
      <c r="M25" s="11"/>
      <c r="N25" s="11"/>
      <c r="O25" s="12"/>
      <c r="P25" s="11" t="s">
        <v>386</v>
      </c>
      <c r="Q25" s="11" t="s">
        <v>414</v>
      </c>
      <c r="R25" s="11"/>
    </row>
    <row r="26" spans="1:18" ht="48" customHeight="1">
      <c r="A26" s="5" t="s">
        <v>435</v>
      </c>
      <c r="B26" s="11"/>
      <c r="C26" s="11"/>
      <c r="D26" s="11"/>
      <c r="E26" s="11"/>
      <c r="F26" s="11"/>
      <c r="G26" s="11"/>
      <c r="H26" s="11"/>
      <c r="I26" s="11"/>
      <c r="J26" s="11"/>
      <c r="K26" s="11"/>
      <c r="L26" s="11"/>
      <c r="M26" s="11"/>
      <c r="N26" s="11"/>
      <c r="O26" s="12"/>
      <c r="P26" s="11" t="s">
        <v>386</v>
      </c>
      <c r="Q26" s="11" t="s">
        <v>414</v>
      </c>
      <c r="R26" s="11"/>
    </row>
    <row r="27" spans="1:18" ht="48" customHeight="1">
      <c r="A27" s="5" t="s">
        <v>436</v>
      </c>
      <c r="B27" s="11"/>
      <c r="C27" s="11"/>
      <c r="D27" s="11"/>
      <c r="E27" s="11"/>
      <c r="F27" s="11"/>
      <c r="G27" s="11"/>
      <c r="H27" s="11"/>
      <c r="I27" s="11"/>
      <c r="J27" s="11"/>
      <c r="K27" s="11"/>
      <c r="L27" s="11"/>
      <c r="M27" s="11"/>
      <c r="N27" s="11"/>
      <c r="O27" s="12"/>
      <c r="P27" s="11" t="s">
        <v>386</v>
      </c>
      <c r="Q27" s="11" t="s">
        <v>414</v>
      </c>
      <c r="R27" s="11"/>
    </row>
    <row r="28" spans="1:18" ht="48" customHeight="1">
      <c r="A28" s="5" t="s">
        <v>437</v>
      </c>
      <c r="B28" s="11"/>
      <c r="C28" s="11"/>
      <c r="D28" s="11"/>
      <c r="E28" s="11"/>
      <c r="F28" s="11"/>
      <c r="G28" s="11"/>
      <c r="H28" s="11"/>
      <c r="I28" s="11"/>
      <c r="J28" s="11"/>
      <c r="K28" s="11"/>
      <c r="L28" s="11"/>
      <c r="M28" s="11"/>
      <c r="N28" s="11"/>
      <c r="O28" s="12"/>
      <c r="P28" s="11" t="s">
        <v>386</v>
      </c>
      <c r="Q28" s="11" t="s">
        <v>414</v>
      </c>
      <c r="R28" s="11"/>
    </row>
    <row r="29" spans="1:18" ht="48" customHeight="1">
      <c r="A29" s="5" t="s">
        <v>438</v>
      </c>
      <c r="B29" s="11"/>
      <c r="C29" s="11"/>
      <c r="D29" s="11"/>
      <c r="E29" s="11"/>
      <c r="F29" s="11"/>
      <c r="G29" s="11"/>
      <c r="H29" s="11"/>
      <c r="I29" s="11"/>
      <c r="J29" s="11"/>
      <c r="K29" s="11"/>
      <c r="L29" s="11"/>
      <c r="M29" s="11"/>
      <c r="N29" s="11"/>
      <c r="O29" s="12"/>
      <c r="P29" s="11" t="s">
        <v>386</v>
      </c>
      <c r="Q29" s="11" t="s">
        <v>414</v>
      </c>
      <c r="R29" s="11"/>
    </row>
    <row r="30" spans="1:18" ht="48" customHeight="1">
      <c r="A30" s="5" t="s">
        <v>439</v>
      </c>
      <c r="B30" s="11"/>
      <c r="C30" s="11"/>
      <c r="D30" s="11"/>
      <c r="E30" s="11"/>
      <c r="F30" s="11"/>
      <c r="G30" s="11"/>
      <c r="H30" s="11"/>
      <c r="I30" s="11"/>
      <c r="J30" s="11"/>
      <c r="K30" s="11"/>
      <c r="L30" s="11"/>
      <c r="M30" s="11"/>
      <c r="N30" s="11"/>
      <c r="O30" s="12"/>
      <c r="P30" s="11" t="s">
        <v>386</v>
      </c>
      <c r="Q30" s="11" t="s">
        <v>414</v>
      </c>
      <c r="R30" s="11"/>
    </row>
    <row r="31" spans="1:18" ht="48" customHeight="1">
      <c r="A31" s="5" t="s">
        <v>440</v>
      </c>
      <c r="B31" s="11"/>
      <c r="C31" s="11"/>
      <c r="D31" s="11"/>
      <c r="E31" s="11"/>
      <c r="F31" s="11"/>
      <c r="G31" s="11"/>
      <c r="H31" s="11"/>
      <c r="I31" s="11"/>
      <c r="J31" s="11"/>
      <c r="K31" s="11"/>
      <c r="L31" s="11"/>
      <c r="M31" s="11"/>
      <c r="N31" s="11"/>
      <c r="O31" s="12"/>
      <c r="P31" s="11" t="s">
        <v>386</v>
      </c>
      <c r="Q31" s="11" t="s">
        <v>414</v>
      </c>
      <c r="R31" s="11"/>
    </row>
    <row r="32" spans="1:18" ht="48" customHeight="1">
      <c r="A32" s="5" t="s">
        <v>441</v>
      </c>
      <c r="B32" s="11"/>
      <c r="C32" s="11"/>
      <c r="D32" s="11"/>
      <c r="E32" s="11"/>
      <c r="F32" s="11"/>
      <c r="G32" s="11"/>
      <c r="H32" s="11"/>
      <c r="I32" s="11"/>
      <c r="J32" s="11"/>
      <c r="K32" s="11"/>
      <c r="L32" s="11"/>
      <c r="M32" s="11"/>
      <c r="N32" s="11"/>
      <c r="O32" s="12"/>
      <c r="P32" s="11" t="s">
        <v>386</v>
      </c>
      <c r="Q32" s="11" t="s">
        <v>414</v>
      </c>
      <c r="R32" s="11"/>
    </row>
    <row r="33" spans="1:18" ht="48" customHeight="1">
      <c r="A33" s="5" t="s">
        <v>442</v>
      </c>
      <c r="B33" s="11"/>
      <c r="C33" s="11"/>
      <c r="D33" s="11"/>
      <c r="E33" s="11"/>
      <c r="F33" s="11"/>
      <c r="G33" s="11"/>
      <c r="H33" s="11"/>
      <c r="I33" s="11"/>
      <c r="J33" s="11"/>
      <c r="K33" s="11"/>
      <c r="L33" s="11"/>
      <c r="M33" s="11"/>
      <c r="N33" s="11"/>
      <c r="O33" s="12"/>
      <c r="P33" s="11" t="s">
        <v>386</v>
      </c>
      <c r="Q33" s="11" t="s">
        <v>414</v>
      </c>
      <c r="R33" s="11"/>
    </row>
    <row r="34" spans="1:18" ht="48" customHeight="1">
      <c r="A34" s="5" t="s">
        <v>443</v>
      </c>
      <c r="B34" s="11"/>
      <c r="C34" s="11"/>
      <c r="D34" s="11"/>
      <c r="E34" s="11"/>
      <c r="F34" s="11"/>
      <c r="G34" s="11"/>
      <c r="H34" s="11"/>
      <c r="I34" s="11"/>
      <c r="J34" s="11"/>
      <c r="K34" s="11"/>
      <c r="L34" s="11"/>
      <c r="M34" s="11"/>
      <c r="N34" s="11"/>
      <c r="O34" s="12"/>
      <c r="P34" s="11" t="s">
        <v>386</v>
      </c>
      <c r="Q34" s="11" t="s">
        <v>414</v>
      </c>
      <c r="R34" s="11"/>
    </row>
  </sheetData>
  <mergeCells count="2">
    <mergeCell ref="A1:R1"/>
    <mergeCell ref="A2:R3"/>
  </mergeCells>
  <dataValidations count="5">
    <dataValidation type="list" sqref="B5:B34" xr:uid="{00000000-0002-0000-0500-000000000000}">
      <formula1>"Add,Revise,Remove,Reorder,Add branch,Change scoring"</formula1>
    </dataValidation>
    <dataValidation type="list" sqref="C5:C34" xr:uid="{00000000-0002-0000-0500-000001000000}">
      <formula1>"Question,Answer option,Flow rule,Score rule,Summary,Recommendation,Disclaimer"</formula1>
    </dataValidation>
    <dataValidation type="list" sqref="D5:D34" xr:uid="{00000000-0002-0000-0500-000002000000}">
      <formula1>"Contact,Basic information,Fruit and vegetable intake,Fibre and wholegrains,Protein habits,Hydration,Meal patterns,Lifestyle,Results,General"</formula1>
    </dataValidation>
    <dataValidation type="list" sqref="P5:P34" xr:uid="{00000000-0002-0000-0500-000003000000}">
      <formula1>"Low,Medium,High,Critical"</formula1>
    </dataValidation>
    <dataValidation type="list" sqref="Q5:Q34" xr:uid="{00000000-0002-0000-0500-000004000000}">
      <formula1>"Draft,Needs discussion,Approved,Rejected,Implemented"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Questions &amp; Answers</vt:lpstr>
      <vt:lpstr>Results Logic</vt:lpstr>
      <vt:lpstr>Flow Map</vt:lpstr>
      <vt:lpstr>Scenario Tester</vt:lpstr>
      <vt:lpstr>Proposed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Doyle</dc:creator>
  <cp:lastModifiedBy>Aaron Doyle</cp:lastModifiedBy>
  <dcterms:created xsi:type="dcterms:W3CDTF">2026-06-09T18:12:05Z</dcterms:created>
  <dcterms:modified xsi:type="dcterms:W3CDTF">2026-06-09T18:12:05Z</dcterms:modified>
</cp:coreProperties>
</file>